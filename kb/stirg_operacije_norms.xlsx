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cije | Operations" sheetId="1" state="visible" r:id="rId3"/>
    <sheet name="Uputstvo | 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<sst xmlns="http://schemas.openxmlformats.org/spreadsheetml/2006/main" count="234" uniqueCount="178">
  <si>
    <t xml:space="preserve">STIRG METAL — Normativi i cene operacija | Operation Norms &amp; Rates</t>
  </si>
  <si>
    <t xml:space="preserve">Popuniti plavim ćelijama | Fill in the blue cells — formule su automatske | formulas are automatic</t>
  </si>
  <si>
    <t xml:space="preserve">Kurs EUR/RSD | EUR/RSD Rate:</t>
  </si>
  <si>
    <t xml:space="preserve">← Ažurirati po potrebi | Update as needed</t>
  </si>
  <si>
    <t xml:space="preserve">Datum izmene | Last updated:</t>
  </si>
  <si>
    <t xml:space="preserve">Op.ID</t>
  </si>
  <si>
    <t xml:space="preserve">Kategorija
Category</t>
  </si>
  <si>
    <t xml:space="preserve">Naziv operacije (SRB)
Operation Name (SRB)</t>
  </si>
  <si>
    <t xml:space="preserve">Operation Name (ENG)</t>
  </si>
  <si>
    <t xml:space="preserve">Jed. mere
Unit</t>
  </si>
  <si>
    <t xml:space="preserve">Cena rada — interni trošak
Labor Cost Rate
(RSD/jed | RSD/unit)</t>
  </si>
  <si>
    <t xml:space="preserve">Trošak mašine i režija
Machine + Overhead Rate
(RSD/jed | RSD/unit)</t>
  </si>
  <si>
    <t xml:space="preserve">UKUPNI INTERNI TROŠAK
TOTAL INTERNAL COST
(RSD/jed | RSD/unit)</t>
  </si>
  <si>
    <t xml:space="preserve">Marža %
Markup %</t>
  </si>
  <si>
    <t xml:space="preserve">CENA ZA KUPCA
CUSTOMER QUOTE RATE
(RSD/jed | RSD/unit)</t>
  </si>
  <si>
    <t xml:space="preserve">CENA ZA KUPCA
CUSTOMER QUOTE RATE
(EUR/jed | EUR/unit)</t>
  </si>
  <si>
    <t xml:space="preserve">Podešavanje — standard
Setup — Standard
(h/seriji | h/batch)</t>
  </si>
  <si>
    <t xml:space="preserve">Podešavanje — složeno
Setup — Complex
(h/seriji | h/batch)</t>
  </si>
  <si>
    <t xml:space="preserve">Izrada — standard
Run — Standard
(h/jed | h/unit)</t>
  </si>
  <si>
    <t xml:space="preserve">Izrada — složeno
Run — Complex
(h/jed | h/unit)</t>
  </si>
  <si>
    <t xml:space="preserve">Napomena | Notes</t>
  </si>
  <si>
    <t xml:space="preserve">INŽENJERING | ENGINEERING</t>
  </si>
  <si>
    <t xml:space="preserve">OP-001</t>
  </si>
  <si>
    <t xml:space="preserve">INŽENJERING</t>
  </si>
  <si>
    <t xml:space="preserve">Kalkulacija i ponuda (interna)</t>
  </si>
  <si>
    <t xml:space="preserve">Quoting &amp; Estimating (Internal)</t>
  </si>
  <si>
    <t xml:space="preserve">h</t>
  </si>
  <si>
    <t xml:space="preserve">PLACEHOLDER — Per quote (internal estimating only)</t>
  </si>
  <si>
    <t xml:space="preserve">OP-002</t>
  </si>
  <si>
    <t xml:space="preserve">CAD projektovanje</t>
  </si>
  <si>
    <t xml:space="preserve">CAD Design</t>
  </si>
  <si>
    <t xml:space="preserve">PLACEHOLDER — Per part</t>
  </si>
  <si>
    <t xml:space="preserve">OP-003</t>
  </si>
  <si>
    <t xml:space="preserve">Priprema DXF-a</t>
  </si>
  <si>
    <t xml:space="preserve">DXF Preparation</t>
  </si>
  <si>
    <t xml:space="preserve">OP-004</t>
  </si>
  <si>
    <t xml:space="preserve">Priprema tehničke dokumentacije</t>
  </si>
  <si>
    <t xml:space="preserve">Technical Drawings Preparation</t>
  </si>
  <si>
    <t xml:space="preserve">OP-005</t>
  </si>
  <si>
    <t xml:space="preserve">Programiranje lasera</t>
  </si>
  <si>
    <t xml:space="preserve">Laser Programming</t>
  </si>
  <si>
    <t xml:space="preserve">PLACEHOLDER — Setup = nesting prep per batch; run = per part programmed</t>
  </si>
  <si>
    <t xml:space="preserve">OP-006</t>
  </si>
  <si>
    <t xml:space="preserve">Upravljanje projektom</t>
  </si>
  <si>
    <t xml:space="preserve">Project Management</t>
  </si>
  <si>
    <t xml:space="preserve">PLACEHOLDER — NOT a per-unit norm — typically % overhead on job hours (~8-10%), not h/unit. Do not fill L-O with a flat value.</t>
  </si>
  <si>
    <t xml:space="preserve">PRIPREMA MATERIJALA | MATERIAL PREPARATION</t>
  </si>
  <si>
    <t xml:space="preserve">OP-007</t>
  </si>
  <si>
    <t xml:space="preserve">PRIPREMA</t>
  </si>
  <si>
    <t xml:space="preserve">Prijem i kontrola materijala</t>
  </si>
  <si>
    <t xml:space="preserve">Material Receiving &amp; Incoming Inspection</t>
  </si>
  <si>
    <t xml:space="preserve">PLACEHOLDER — Per delivery, not per part</t>
  </si>
  <si>
    <t xml:space="preserve">OP-008</t>
  </si>
  <si>
    <t xml:space="preserve">Trasiranje i markiranje</t>
  </si>
  <si>
    <t xml:space="preserve">Marking / Layout</t>
  </si>
  <si>
    <t xml:space="preserve">PLACEHOLDER — Per piece</t>
  </si>
  <si>
    <t xml:space="preserve">OBRADA | FABRICATION</t>
  </si>
  <si>
    <t xml:space="preserve">OP-009</t>
  </si>
  <si>
    <t xml:space="preserve">OBRADA</t>
  </si>
  <si>
    <t xml:space="preserve">Lasersko sečenje</t>
  </si>
  <si>
    <t xml:space="preserve">Laser Cutting</t>
  </si>
  <si>
    <t xml:space="preserve">PLACEHOLDER — FORMULA-DRIVEN CANDIDATE — run = h/pierce placeholder. Prefer pulling real cut time from laser nesting/CAM software job history instead of this flat value. Setup = sheet load/unload + nest check per batch.</t>
  </si>
  <si>
    <t xml:space="preserve">OP-010</t>
  </si>
  <si>
    <t xml:space="preserve">Sečenje na dužinu</t>
  </si>
  <si>
    <t xml:space="preserve">Cutting to Length</t>
  </si>
  <si>
    <t xml:space="preserve">PLACEHOLDER — Per cut</t>
  </si>
  <si>
    <t xml:space="preserve">OP-011</t>
  </si>
  <si>
    <t xml:space="preserve">Bušenje i narezivanje</t>
  </si>
  <si>
    <t xml:space="preserve">Drilling &amp; Tapping</t>
  </si>
  <si>
    <t xml:space="preserve">PLACEHOLDER — Run = per hole (~36 sec drill; tapped ~2x)</t>
  </si>
  <si>
    <t xml:space="preserve">OP-012</t>
  </si>
  <si>
    <t xml:space="preserve">Savijanje na presi</t>
  </si>
  <si>
    <t xml:space="preserve">Press Bending</t>
  </si>
  <si>
    <t xml:space="preserve">30 sec po udarcu (run-standard, existing value kept)</t>
  </si>
  <si>
    <t xml:space="preserve">OP-013</t>
  </si>
  <si>
    <t xml:space="preserve">Brušenje i priprema površina</t>
  </si>
  <si>
    <t xml:space="preserve">Grinding &amp; Surface Preparation</t>
  </si>
  <si>
    <t xml:space="preserve">OP-014</t>
  </si>
  <si>
    <t xml:space="preserve">Skidanje pucni i čišćenje</t>
  </si>
  <si>
    <t xml:space="preserve">Deburring &amp; Cleaning</t>
  </si>
  <si>
    <t xml:space="preserve">ZAVARIVANJE | WELDING</t>
  </si>
  <si>
    <t xml:space="preserve">OP-015</t>
  </si>
  <si>
    <t xml:space="preserve">ZAVARIVANJE</t>
  </si>
  <si>
    <t xml:space="preserve">Peckanje i prihvatno zavar.</t>
  </si>
  <si>
    <t xml:space="preserve">Fit-up &amp; Tack Welding</t>
  </si>
  <si>
    <t xml:space="preserve">PLACEHOLDER — Run = per joint</t>
  </si>
  <si>
    <t xml:space="preserve">OP-016</t>
  </si>
  <si>
    <t xml:space="preserve">Zavarivanje</t>
  </si>
  <si>
    <t xml:space="preserve">Welding (Full)</t>
  </si>
  <si>
    <t xml:space="preserve">PLACEHOLDER — FORMULA-DRIVEN CANDIDATE — run = h/cm weld length placeholder. Prefer deriving from BOM weld-length lines (EN 15085-3) once shop deposition rate (h/mm) is known from real job data. Setup = fixture/fit-up prep per batch.</t>
  </si>
  <si>
    <t xml:space="preserve">ZAVRŠNA OBRADA | FINISHING</t>
  </si>
  <si>
    <t xml:space="preserve">OP-017</t>
  </si>
  <si>
    <t xml:space="preserve">ZAVRŠNA OBRADA</t>
  </si>
  <si>
    <t xml:space="preserve">Farbanje / Plastifikacija</t>
  </si>
  <si>
    <t xml:space="preserve">Painting / Powder Coating</t>
  </si>
  <si>
    <t xml:space="preserve">PLACEHOLDER — Per piece, size-dependent</t>
  </si>
  <si>
    <t xml:space="preserve">OP-018</t>
  </si>
  <si>
    <t xml:space="preserve">Izolacija</t>
  </si>
  <si>
    <t xml:space="preserve">Insulating</t>
  </si>
  <si>
    <t xml:space="preserve">MONTAŽA | ASSEMBLY</t>
  </si>
  <si>
    <t xml:space="preserve">OP-019</t>
  </si>
  <si>
    <t xml:space="preserve">MONTAŽA</t>
  </si>
  <si>
    <t xml:space="preserve">Ugradnja spojnih elemenata</t>
  </si>
  <si>
    <t xml:space="preserve">Hardware Insertion</t>
  </si>
  <si>
    <t xml:space="preserve">PLACEHOLDER — Per fastener</t>
  </si>
  <si>
    <t xml:space="preserve">OP-020</t>
  </si>
  <si>
    <t xml:space="preserve">Montaža</t>
  </si>
  <si>
    <t xml:space="preserve">Assembly</t>
  </si>
  <si>
    <t xml:space="preserve">PLACEHOLDER — Per sub-assembly — weakest placeholder, highly job-dependent</t>
  </si>
  <si>
    <t xml:space="preserve">OP-021</t>
  </si>
  <si>
    <t xml:space="preserve">Zaptivanje</t>
  </si>
  <si>
    <t xml:space="preserve">Sealing / Caulking</t>
  </si>
  <si>
    <t xml:space="preserve">PLACEHOLDER — Per meter</t>
  </si>
  <si>
    <t xml:space="preserve">OP-022</t>
  </si>
  <si>
    <t xml:space="preserve">Podešavanje i finalna montaža</t>
  </si>
  <si>
    <t xml:space="preserve">Final Fitting &amp; Adjustment</t>
  </si>
  <si>
    <t xml:space="preserve">KONTROLA KVALITETA | QUALITY CONTROL</t>
  </si>
  <si>
    <t xml:space="preserve">OP-023</t>
  </si>
  <si>
    <t xml:space="preserve">KONTROLA</t>
  </si>
  <si>
    <t xml:space="preserve">Vizuelna kontrola</t>
  </si>
  <si>
    <t xml:space="preserve">Visual Quality Control</t>
  </si>
  <si>
    <t xml:space="preserve">OP-024</t>
  </si>
  <si>
    <t xml:space="preserve">Dimenzionalna kontrola</t>
  </si>
  <si>
    <t xml:space="preserve">Dimensional Inspection</t>
  </si>
  <si>
    <t xml:space="preserve">PLACEHOLDER — Per piece, CMM/manual-dependent</t>
  </si>
  <si>
    <t xml:space="preserve">LOGISTIKA | LOGISTICS</t>
  </si>
  <si>
    <t xml:space="preserve">OP-025</t>
  </si>
  <si>
    <t xml:space="preserve">LOGISTIKA</t>
  </si>
  <si>
    <t xml:space="preserve">Pakovanje</t>
  </si>
  <si>
    <t xml:space="preserve">Packaging</t>
  </si>
  <si>
    <t xml:space="preserve">OP-026</t>
  </si>
  <si>
    <t xml:space="preserve">Priprema za isporuku</t>
  </si>
  <si>
    <t xml:space="preserve">Shipping / Delivery Preparation</t>
  </si>
  <si>
    <t xml:space="preserve">PLACEHOLDER — Per order, not per piece</t>
  </si>
  <si>
    <t xml:space="preserve">OP-027</t>
  </si>
  <si>
    <t xml:space="preserve">Nabavka — traženje i upoređivanje ponuda</t>
  </si>
  <si>
    <t xml:space="preserve">Vendor Sourcing &amp; Quote Comparison</t>
  </si>
  <si>
    <t xml:space="preserve">RFQ</t>
  </si>
  <si>
    <t xml:space="preserve">PLACEHOLDER — Unit = per RFQ sent (one vendor contacted), not per part. Labor only — does NOT include vendor reply lead-time (elapsed waiting), which belongs to future vendor/part lead-time tracking, not this cost-rate table. See OQ (new) in KB.</t>
  </si>
  <si>
    <t xml:space="preserve">LEGENDA | LEGEND</t>
  </si>
  <si>
    <t xml:space="preserve">Plavi tekst | Blue text = polje za unos | input field — vi popunjavate | you fill in</t>
  </si>
  <si>
    <t xml:space="preserve">Crni tekst na plavoj pozadini | Black on blue = automatski izračunato | auto-calculated</t>
  </si>
  <si>
    <t xml:space="preserve">Crni tekst na zelenoj pozadini | Black on green = cena za kupca | customer rate (auto)</t>
  </si>
  <si>
    <t xml:space="preserve">Žuta pozadina | Yellow background = pretpostavka za ažuriranje | assumption to update</t>
  </si>
  <si>
    <t xml:space="preserve">Žuti tekst u koloni Napomena | Yellow italic text in Notes column = PLACEHOLDER norma — nije validirano na realnim podacima Stirg-a, treba ažurirati | PLACEHOLDER norm — not yet validated on real Stirg data, needs updating</t>
  </si>
  <si>
    <t xml:space="preserve">UPUTSTVO ZA POPUNJAVANJE | HOW TO FILL IN THIS FILE</t>
  </si>
  <si>
    <t xml:space="preserve">SRB</t>
  </si>
  <si>
    <t xml:space="preserve">UPUTSTVO:</t>
  </si>
  <si>
    <t xml:space="preserve">1.</t>
  </si>
  <si>
    <t xml:space="preserve">Otvorite sheet 'Operacije | Operations'.</t>
  </si>
  <si>
    <t xml:space="preserve">2.</t>
  </si>
  <si>
    <t xml:space="preserve">Ažurirajte kurs EUR/RSD u ćeliji D3 (žuta ćelija).</t>
  </si>
  <si>
    <t xml:space="preserve">3.</t>
  </si>
  <si>
    <t xml:space="preserve">Za svaku operaciju popunite PLAVE ćelije:</t>
  </si>
  <si>
    <t xml:space="preserve">   F — Cena rada (interni trošak) u RSD/h: šta košta sat rada tog radnika/mašine Stirg-u.</t>
  </si>
  <si>
    <t xml:space="preserve">   G — Trošak mašine i režija u RSD/h: amortizacija mašine + struja + opšti troškovi (može biti 0 ako su uključeni u F).</t>
  </si>
  <si>
    <t xml:space="preserve">   I — Marža u %: npr. 0,30 za 30%. Koliko se dodaje na interni trošak za ponudu kupcu.</t>
  </si>
  <si>
    <t xml:space="preserve">   L — Podešavanje, standard (h/seriji): jednokratno vreme po seriji/poslu (zamena alata, programiranje, podešavanje mašine).</t>
  </si>
  <si>
    <t xml:space="preserve">   M — Podešavanje, složeno (h/seriji): jednokratno vreme za složene/nestandardne poslove.</t>
  </si>
  <si>
    <t xml:space="preserve">   N — Izrada, standard (h/jed): ponavljajuće vreme po jedinici (komad, udarac, otvor, metar...).</t>
  </si>
  <si>
    <t xml:space="preserve">   O — Izrada, složeno (h/jed): ponavljajuće vreme po jedinici za složene poslove.</t>
  </si>
  <si>
    <t xml:space="preserve">   P — Napomena: sve što treba napomenuti uz operaciju (žuti kurziv = nepotvrđena pretpostavka).</t>
  </si>
  <si>
    <t xml:space="preserve">4.</t>
  </si>
  <si>
    <t xml:space="preserve">Kolone H, J, K se računaju automatski — ne unosite ništa u te ćelije.</t>
  </si>
  <si>
    <t xml:space="preserve">ENG</t>
  </si>
  <si>
    <t xml:space="preserve">INSTRUCTIONS:</t>
  </si>
  <si>
    <t xml:space="preserve">Open the 'Operacije | Operations' sheet.</t>
  </si>
  <si>
    <t xml:space="preserve">Update the EUR/RSD exchange rate in cell D3 (yellow cell).</t>
  </si>
  <si>
    <t xml:space="preserve">For each operation, fill in the BLUE cells:</t>
  </si>
  <si>
    <t xml:space="preserve">   F — Labor cost rate (RSD/unit): what one hour of this operation costs Stirg internally.</t>
  </si>
  <si>
    <t xml:space="preserve">   G — Machine + overhead rate (RSD/unit): machine depreciation + electricity + allocated overhead (can be 0 if included in F).</t>
  </si>
  <si>
    <t xml:space="preserve">   I — Markup as decimal: e.g. 0.30 for 30%. Added on top of internal cost for customer quote.</t>
  </si>
  <si>
    <t xml:space="preserve">   L — Setup, standard (h/batch): one-time time per batch/job (tool change, programming, machine setup).</t>
  </si>
  <si>
    <t xml:space="preserve">   M — Setup, complex (h/batch): one-time time for complex/non-standard jobs.</t>
  </si>
  <si>
    <t xml:space="preserve">   N — Run, standard (h/unit): repeating time per unit (piece, hit, hole, meter...).</t>
  </si>
  <si>
    <t xml:space="preserve">   O — Run, complex (h/unit): repeating time per unit for complex jobs.</t>
  </si>
  <si>
    <t xml:space="preserve">   P — Notes: anything relevant (yellow italic = unvalidated placeholder).</t>
  </si>
  <si>
    <t xml:space="preserve">Columns H, J, K calculate automatically — do not enter anything in those cells.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</si>
</sst>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dd\.mm\.yyyy"/>
    <numFmt numFmtId="167" formatCode="#,##0"/>
    <numFmt numFmtId="168" formatCode="0.0%"/>
    <numFmt numFmtId="169" formatCode="0.0000"/>
    <numFmt numFmtId="170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92400E"/>
      <name val="Arial"/>
      <family val="0"/>
      <charset val="1"/>
    </font>
    <font>
      <sz val="9"/>
      <color rgb="FF64748B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9"/>
      <color rgb="FFB4530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92400E"/>
      <name val="Arial"/>
      <family val="0"/>
      <charset val="1"/>
    </font>
    <font>
      <sz val="10"/>
      <color rgb="FF3341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  <fill>
      <patternFill patternType="solid">
        <fgColor rgb="FFFFFFFF"/>
        <bgColor rgb="FFF8FAFC"/>
      </patternFill>
    </fill>
    <fill>
      <patternFill patternType="solid">
        <fgColor rgb="FFFFFF00"/>
        <bgColor rgb="FFFFFF00"/>
      </patternFill>
    </fill>
    <fill>
      <patternFill patternType="solid">
        <fgColor rgb="FF1E3A5F"/>
        <bgColor rgb="FF334155"/>
      </patternFill>
    </fill>
    <fill>
      <patternFill patternType="solid">
        <fgColor rgb="FFEFF6FF"/>
        <bgColor rgb="FFF8FAFC"/>
      </patternFill>
    </fill>
    <fill>
      <patternFill patternType="solid">
        <fgColor rgb="FFF0FDF4"/>
        <bgColor rgb="FFF8FAFC"/>
      </patternFill>
    </fill>
    <fill>
      <patternFill patternType="solid">
        <fgColor rgb="FFFEF9C3"/>
        <bgColor rgb="FFFFFF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9C3"/>
      <rgbColor rgb="FFF0FDF4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2400E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6" topLeftCell="A7" activePane="bottomLeft" state="frozen"/>
      <selection pane="topLeft" activeCell="A1" activeCellId="0" sqref="A1"/>
      <selection pane="bottomLeft" activeCell="C21" activeCellId="0" sqref="C2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4" min="3" style="1" width="30"/>
    <col collapsed="false" customWidth="true" hidden="false" outlineLevel="0" max="5" min="5" style="1" width="10"/>
    <col collapsed="false" customWidth="true" hidden="false" outlineLevel="0" max="8" min="6" style="1" width="16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5" min="11" style="1" width="14"/>
    <col collapsed="false" customWidth="true" hidden="false" outlineLevel="0" max="16" min="16" style="1" width="3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1.75" hidden="false" customHeight="true" outlineLevel="0" collapsed="false">
      <c r="A3" s="4" t="s">
        <v>2</v>
      </c>
      <c r="B3" s="4"/>
      <c r="C3" s="4"/>
      <c r="D3" s="5" t="n">
        <v>117</v>
      </c>
      <c r="E3" s="6" t="s">
        <v>3</v>
      </c>
      <c r="F3" s="6"/>
    </row>
    <row r="4" customFormat="false" ht="18" hidden="false" customHeight="true" outlineLevel="0" collapsed="false">
      <c r="A4" s="7" t="s">
        <v>4</v>
      </c>
      <c r="B4" s="7"/>
      <c r="C4" s="7"/>
      <c r="D4" s="7"/>
      <c r="E4" s="8"/>
    </row>
    <row r="5" customFormat="false" ht="6" hidden="false" customHeight="true" outlineLevel="0" collapsed="false"/>
    <row r="6" customFormat="false" ht="72" hidden="false" customHeight="true" outlineLevel="0" collapsed="false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10" t="s">
        <v>17</v>
      </c>
      <c r="N6" s="10" t="s">
        <v>18</v>
      </c>
      <c r="O6" s="9" t="s">
        <v>19</v>
      </c>
      <c r="P6" s="9" t="s">
        <v>20</v>
      </c>
    </row>
    <row r="7" customFormat="false" ht="19.5" hidden="false" customHeight="true" outlineLevel="0" collapsed="false">
      <c r="A7" s="11" t="s">
        <v>21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21.75" hidden="false" customHeight="true" outlineLevel="0" collapsed="false">
      <c r="A8" s="12" t="s">
        <v>22</v>
      </c>
      <c r="B8" s="13" t="s">
        <v>23</v>
      </c>
      <c r="C8" s="13" t="s">
        <v>24</v>
      </c>
      <c r="D8" s="13" t="s">
        <v>25</v>
      </c>
      <c r="E8" s="12" t="s">
        <v>26</v>
      </c>
      <c r="F8" s="14" t="n">
        <v>1989</v>
      </c>
      <c r="G8" s="14"/>
      <c r="H8" s="15" t="n">
        <f aca="false">IF(AND(F8="",G8=""),"",IFERROR(IF(F8="",0,F8)+IF(G8="",0,G8),""))</f>
        <v>1989</v>
      </c>
      <c r="I8" s="16" t="n">
        <v>0.3</v>
      </c>
      <c r="J8" s="17" t="n">
        <f aca="false">IF(H8="","",IFERROR(H8*(1+IF(I8="",0,I8)),""))</f>
        <v>2585.7</v>
      </c>
      <c r="K8" s="18" t="n">
        <f aca="false">IF(J8="","",IFERROR(J8/$D$3,""))</f>
        <v>22.1</v>
      </c>
      <c r="L8" s="19" t="n">
        <v>0</v>
      </c>
      <c r="M8" s="20" t="n">
        <v>0</v>
      </c>
      <c r="N8" s="20" t="n">
        <v>1</v>
      </c>
      <c r="O8" s="19" t="n">
        <v>3</v>
      </c>
      <c r="P8" s="21" t="s">
        <v>27</v>
      </c>
    </row>
    <row r="9" customFormat="false" ht="21.75" hidden="false" customHeight="true" outlineLevel="0" collapsed="false">
      <c r="A9" s="22" t="s">
        <v>28</v>
      </c>
      <c r="B9" s="23" t="s">
        <v>23</v>
      </c>
      <c r="C9" s="23" t="s">
        <v>29</v>
      </c>
      <c r="D9" s="23" t="s">
        <v>30</v>
      </c>
      <c r="E9" s="22" t="s">
        <v>26</v>
      </c>
      <c r="F9" s="14" t="n">
        <v>1989</v>
      </c>
      <c r="G9" s="24"/>
      <c r="H9" s="15" t="n">
        <f aca="false">IF(AND(F9="",G9=""),"",IFERROR(IF(F9="",0,F9)+IF(G9="",0,G9),""))</f>
        <v>1989</v>
      </c>
      <c r="I9" s="16" t="n">
        <v>0.3</v>
      </c>
      <c r="J9" s="17" t="n">
        <f aca="false">IF(H9="","",IFERROR(H9*(1+IF(I9="",0,I9)),""))</f>
        <v>2585.7</v>
      </c>
      <c r="K9" s="18" t="n">
        <f aca="false">IF(J9="","",IFERROR(J9/$D$3,""))</f>
        <v>22.1</v>
      </c>
      <c r="L9" s="19" t="n">
        <v>0</v>
      </c>
      <c r="M9" s="20" t="n">
        <v>0</v>
      </c>
      <c r="N9" s="20" t="n">
        <v>1.5</v>
      </c>
      <c r="O9" s="19" t="n">
        <v>4</v>
      </c>
      <c r="P9" s="25" t="s">
        <v>31</v>
      </c>
    </row>
    <row r="10" customFormat="false" ht="21.75" hidden="false" customHeight="true" outlineLevel="0" collapsed="false">
      <c r="A10" s="12" t="s">
        <v>32</v>
      </c>
      <c r="B10" s="13" t="s">
        <v>23</v>
      </c>
      <c r="C10" s="13" t="s">
        <v>33</v>
      </c>
      <c r="D10" s="13" t="s">
        <v>34</v>
      </c>
      <c r="E10" s="12" t="s">
        <v>26</v>
      </c>
      <c r="F10" s="14" t="n">
        <v>1989</v>
      </c>
      <c r="G10" s="14"/>
      <c r="H10" s="15" t="n">
        <f aca="false">IF(AND(F10="",G10=""),"",IFERROR(IF(F10="",0,F10)+IF(G10="",0,G10),""))</f>
        <v>1989</v>
      </c>
      <c r="I10" s="16" t="n">
        <v>0.3</v>
      </c>
      <c r="J10" s="17" t="n">
        <f aca="false">IF(H10="","",IFERROR(H10*(1+IF(I10="",0,I10)),""))</f>
        <v>2585.7</v>
      </c>
      <c r="K10" s="18" t="n">
        <f aca="false">IF(J10="","",IFERROR(J10/$D$3,""))</f>
        <v>22.1</v>
      </c>
      <c r="L10" s="19" t="n">
        <v>0</v>
      </c>
      <c r="M10" s="20" t="n">
        <v>0</v>
      </c>
      <c r="N10" s="20" t="n">
        <v>0.25</v>
      </c>
      <c r="O10" s="19" t="n">
        <v>0.5</v>
      </c>
      <c r="P10" s="21" t="s">
        <v>31</v>
      </c>
    </row>
    <row r="11" customFormat="false" ht="21.75" hidden="false" customHeight="true" outlineLevel="0" collapsed="false">
      <c r="A11" s="22" t="s">
        <v>35</v>
      </c>
      <c r="B11" s="23" t="s">
        <v>23</v>
      </c>
      <c r="C11" s="23" t="s">
        <v>36</v>
      </c>
      <c r="D11" s="23" t="s">
        <v>37</v>
      </c>
      <c r="E11" s="22" t="s">
        <v>26</v>
      </c>
      <c r="F11" s="14" t="n">
        <v>1989</v>
      </c>
      <c r="G11" s="24"/>
      <c r="H11" s="15" t="n">
        <f aca="false">IF(AND(F11="",G11=""),"",IFERROR(IF(F11="",0,F11)+IF(G11="",0,G11),""))</f>
        <v>1989</v>
      </c>
      <c r="I11" s="16" t="n">
        <v>0.3</v>
      </c>
      <c r="J11" s="17" t="n">
        <f aca="false">IF(H11="","",IFERROR(H11*(1+IF(I11="",0,I11)),""))</f>
        <v>2585.7</v>
      </c>
      <c r="K11" s="18" t="n">
        <f aca="false">IF(J11="","",IFERROR(J11/$D$3,""))</f>
        <v>22.1</v>
      </c>
      <c r="L11" s="19" t="n">
        <v>0</v>
      </c>
      <c r="M11" s="20" t="n">
        <v>0</v>
      </c>
      <c r="N11" s="20" t="n">
        <v>1</v>
      </c>
      <c r="O11" s="19" t="n">
        <v>2.5</v>
      </c>
      <c r="P11" s="25" t="s">
        <v>31</v>
      </c>
    </row>
    <row r="12" customFormat="false" ht="21.75" hidden="false" customHeight="true" outlineLevel="0" collapsed="false">
      <c r="A12" s="12" t="s">
        <v>38</v>
      </c>
      <c r="B12" s="13" t="s">
        <v>23</v>
      </c>
      <c r="C12" s="13" t="s">
        <v>39</v>
      </c>
      <c r="D12" s="13" t="s">
        <v>40</v>
      </c>
      <c r="E12" s="12" t="s">
        <v>26</v>
      </c>
      <c r="F12" s="14" t="n">
        <v>1989</v>
      </c>
      <c r="G12" s="14"/>
      <c r="H12" s="15" t="n">
        <f aca="false">IF(AND(F12="",G12=""),"",IFERROR(IF(F12="",0,F12)+IF(G12="",0,G12),""))</f>
        <v>1989</v>
      </c>
      <c r="I12" s="16" t="n">
        <v>0.3</v>
      </c>
      <c r="J12" s="17" t="n">
        <f aca="false">IF(H12="","",IFERROR(H12*(1+IF(I12="",0,I12)),""))</f>
        <v>2585.7</v>
      </c>
      <c r="K12" s="18" t="n">
        <f aca="false">IF(J12="","",IFERROR(J12/$D$3,""))</f>
        <v>22.1</v>
      </c>
      <c r="L12" s="19" t="n">
        <v>0.2</v>
      </c>
      <c r="M12" s="20" t="n">
        <v>0.5</v>
      </c>
      <c r="N12" s="20" t="n">
        <v>0.3</v>
      </c>
      <c r="O12" s="19" t="n">
        <v>0.75</v>
      </c>
      <c r="P12" s="21" t="s">
        <v>41</v>
      </c>
    </row>
    <row r="13" customFormat="false" ht="21.75" hidden="false" customHeight="true" outlineLevel="0" collapsed="false">
      <c r="A13" s="22" t="s">
        <v>42</v>
      </c>
      <c r="B13" s="23" t="s">
        <v>23</v>
      </c>
      <c r="C13" s="23" t="s">
        <v>43</v>
      </c>
      <c r="D13" s="23" t="s">
        <v>44</v>
      </c>
      <c r="E13" s="22" t="s">
        <v>26</v>
      </c>
      <c r="F13" s="14" t="n">
        <v>1989</v>
      </c>
      <c r="G13" s="24"/>
      <c r="H13" s="15" t="n">
        <f aca="false">IF(AND(F13="",G13=""),"",IFERROR(IF(F13="",0,F13)+IF(G13="",0,G13),""))</f>
        <v>1989</v>
      </c>
      <c r="I13" s="16" t="n">
        <v>0.3</v>
      </c>
      <c r="J13" s="17" t="n">
        <f aca="false">IF(H13="","",IFERROR(H13*(1+IF(I13="",0,I13)),""))</f>
        <v>2585.7</v>
      </c>
      <c r="K13" s="18" t="n">
        <f aca="false">IF(J13="","",IFERROR(J13/$D$3,""))</f>
        <v>22.1</v>
      </c>
      <c r="L13" s="19" t="n">
        <v>0</v>
      </c>
      <c r="M13" s="20" t="n">
        <v>0</v>
      </c>
      <c r="N13" s="20" t="n">
        <v>0</v>
      </c>
      <c r="O13" s="19" t="n">
        <v>0</v>
      </c>
      <c r="P13" s="25" t="s">
        <v>45</v>
      </c>
    </row>
    <row r="14" customFormat="false" ht="19.5" hidden="false" customHeight="true" outlineLevel="0" collapsed="false">
      <c r="A14" s="11" t="s">
        <v>46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25.5" hidden="false" customHeight="true" outlineLevel="0" collapsed="false">
      <c r="A15" s="12" t="s">
        <v>47</v>
      </c>
      <c r="B15" s="13" t="s">
        <v>48</v>
      </c>
      <c r="C15" s="13" t="s">
        <v>49</v>
      </c>
      <c r="D15" s="13" t="s">
        <v>50</v>
      </c>
      <c r="E15" s="12" t="s">
        <v>26</v>
      </c>
      <c r="F15" s="14" t="n">
        <v>1989</v>
      </c>
      <c r="G15" s="14"/>
      <c r="H15" s="15" t="n">
        <f aca="false">IF(AND(F15="",G15=""),"",IFERROR(IF(F15="",0,F15)+IF(G15="",0,G15),""))</f>
        <v>1989</v>
      </c>
      <c r="I15" s="16" t="n">
        <v>0.3</v>
      </c>
      <c r="J15" s="17" t="n">
        <f aca="false">IF(H15="","",IFERROR(H15*(1+IF(I15="",0,I15)),""))</f>
        <v>2585.7</v>
      </c>
      <c r="K15" s="18" t="n">
        <f aca="false">IF(J15="","",IFERROR(J15/$D$3,""))</f>
        <v>22.1</v>
      </c>
      <c r="L15" s="19" t="n">
        <v>0</v>
      </c>
      <c r="M15" s="20" t="n">
        <v>0</v>
      </c>
      <c r="N15" s="20" t="n">
        <v>0.15</v>
      </c>
      <c r="O15" s="19" t="n">
        <v>0.3</v>
      </c>
      <c r="P15" s="21" t="s">
        <v>51</v>
      </c>
    </row>
    <row r="16" customFormat="false" ht="21.75" hidden="false" customHeight="true" outlineLevel="0" collapsed="false">
      <c r="A16" s="22" t="s">
        <v>52</v>
      </c>
      <c r="B16" s="23" t="s">
        <v>48</v>
      </c>
      <c r="C16" s="23" t="s">
        <v>53</v>
      </c>
      <c r="D16" s="23" t="s">
        <v>54</v>
      </c>
      <c r="E16" s="22" t="s">
        <v>26</v>
      </c>
      <c r="F16" s="14" t="n">
        <v>1989</v>
      </c>
      <c r="G16" s="24"/>
      <c r="H16" s="15" t="n">
        <f aca="false">IF(AND(F16="",G16=""),"",IFERROR(IF(F16="",0,F16)+IF(G16="",0,G16),""))</f>
        <v>1989</v>
      </c>
      <c r="I16" s="26" t="n">
        <v>0.3</v>
      </c>
      <c r="J16" s="17" t="n">
        <f aca="false">IF(H16="","",IFERROR(H16*(1+IF(I16="",0,I16)),""))</f>
        <v>2585.7</v>
      </c>
      <c r="K16" s="18" t="n">
        <f aca="false">IF(J16="","",IFERROR(J16/$D$3,""))</f>
        <v>22.1</v>
      </c>
      <c r="L16" s="19" t="n">
        <v>0</v>
      </c>
      <c r="M16" s="20" t="n">
        <v>0</v>
      </c>
      <c r="N16" s="20" t="n">
        <v>0.1</v>
      </c>
      <c r="O16" s="19" t="n">
        <v>0.25</v>
      </c>
      <c r="P16" s="25" t="s">
        <v>55</v>
      </c>
    </row>
    <row r="17" customFormat="false" ht="19.5" hidden="false" customHeight="true" outlineLevel="0" collapsed="false">
      <c r="A17" s="11" t="s">
        <v>56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74.25" hidden="false" customHeight="true" outlineLevel="0" collapsed="false">
      <c r="A18" s="22" t="s">
        <v>57</v>
      </c>
      <c r="B18" s="23" t="s">
        <v>58</v>
      </c>
      <c r="C18" s="23" t="s">
        <v>59</v>
      </c>
      <c r="D18" s="23" t="s">
        <v>60</v>
      </c>
      <c r="E18" s="12" t="s">
        <v>26</v>
      </c>
      <c r="F18" s="14" t="n">
        <v>1989</v>
      </c>
      <c r="G18" s="14" t="n">
        <v>16731</v>
      </c>
      <c r="H18" s="15" t="n">
        <f aca="false">IF(AND(F18="",G18=""),"",IFERROR(IF(F18="",0,F18)+IF(G18="",0,G18),""))</f>
        <v>18720</v>
      </c>
      <c r="I18" s="16" t="n">
        <v>0.3</v>
      </c>
      <c r="J18" s="17" t="n">
        <f aca="false">IF(H18="","",IFERROR(H18*(1+IF(I18="",0,I18)),""))</f>
        <v>24336</v>
      </c>
      <c r="K18" s="18" t="n">
        <f aca="false">IF(J18="","",IFERROR(J18/$D$3,""))</f>
        <v>208</v>
      </c>
      <c r="L18" s="19" t="n">
        <v>0.3</v>
      </c>
      <c r="M18" s="20" t="n">
        <v>0.75</v>
      </c>
      <c r="N18" s="20" t="n">
        <v>0.05</v>
      </c>
      <c r="O18" s="19" t="n">
        <v>0.1</v>
      </c>
      <c r="P18" s="21" t="s">
        <v>61</v>
      </c>
    </row>
    <row r="19" customFormat="false" ht="21.75" hidden="false" customHeight="true" outlineLevel="0" collapsed="false">
      <c r="A19" s="22" t="s">
        <v>62</v>
      </c>
      <c r="B19" s="23" t="s">
        <v>58</v>
      </c>
      <c r="C19" s="23" t="s">
        <v>63</v>
      </c>
      <c r="D19" s="23" t="s">
        <v>64</v>
      </c>
      <c r="E19" s="22" t="s">
        <v>26</v>
      </c>
      <c r="F19" s="14" t="n">
        <v>1989</v>
      </c>
      <c r="G19" s="24" t="n">
        <v>2925</v>
      </c>
      <c r="H19" s="15" t="n">
        <f aca="false">IF(AND(F19="",G19=""),"",IFERROR(IF(F19="",0,F19)+IF(G19="",0,G19),""))</f>
        <v>4914</v>
      </c>
      <c r="I19" s="16" t="n">
        <v>0.3</v>
      </c>
      <c r="J19" s="17" t="n">
        <f aca="false">IF(H19="","",IFERROR(H19*(1+IF(I19="",0,I19)),""))</f>
        <v>6388.2</v>
      </c>
      <c r="K19" s="18" t="n">
        <f aca="false">IF(J19="","",IFERROR(J19/$D$3,""))</f>
        <v>54.6</v>
      </c>
      <c r="L19" s="19" t="n">
        <v>0.1</v>
      </c>
      <c r="M19" s="20" t="n">
        <v>0.25</v>
      </c>
      <c r="N19" s="20" t="n">
        <v>0.05</v>
      </c>
      <c r="O19" s="19" t="n">
        <v>0.1</v>
      </c>
      <c r="P19" s="25" t="s">
        <v>65</v>
      </c>
    </row>
    <row r="20" customFormat="false" ht="21.75" hidden="false" customHeight="true" outlineLevel="0" collapsed="false">
      <c r="A20" s="12" t="s">
        <v>66</v>
      </c>
      <c r="B20" s="13" t="s">
        <v>58</v>
      </c>
      <c r="C20" s="13" t="s">
        <v>67</v>
      </c>
      <c r="D20" s="13" t="s">
        <v>68</v>
      </c>
      <c r="E20" s="12" t="s">
        <v>26</v>
      </c>
      <c r="F20" s="14" t="n">
        <v>1989</v>
      </c>
      <c r="G20" s="24" t="n">
        <v>2925</v>
      </c>
      <c r="H20" s="15" t="n">
        <f aca="false">IF(AND(F20="",G20=""),"",IFERROR(IF(F20="",0,F20)+IF(G20="",0,G20),""))</f>
        <v>4914</v>
      </c>
      <c r="I20" s="16" t="n">
        <v>0.3</v>
      </c>
      <c r="J20" s="17" t="n">
        <f aca="false">IF(H20="","",IFERROR(H20*(1+IF(I20="",0,I20)),""))</f>
        <v>6388.2</v>
      </c>
      <c r="K20" s="18" t="n">
        <f aca="false">IF(J20="","",IFERROR(J20/$D$3,""))</f>
        <v>54.6</v>
      </c>
      <c r="L20" s="19" t="n">
        <v>0.1</v>
      </c>
      <c r="M20" s="20" t="n">
        <v>0.2</v>
      </c>
      <c r="N20" s="20" t="n">
        <v>0.01</v>
      </c>
      <c r="O20" s="19" t="n">
        <v>0.02</v>
      </c>
      <c r="P20" s="21" t="s">
        <v>69</v>
      </c>
    </row>
    <row r="21" customFormat="false" ht="21.75" hidden="false" customHeight="true" outlineLevel="0" collapsed="false">
      <c r="A21" s="22" t="s">
        <v>70</v>
      </c>
      <c r="B21" s="23" t="s">
        <v>58</v>
      </c>
      <c r="C21" s="23" t="s">
        <v>71</v>
      </c>
      <c r="D21" s="23" t="s">
        <v>72</v>
      </c>
      <c r="E21" s="22" t="s">
        <v>26</v>
      </c>
      <c r="F21" s="14" t="n">
        <v>1989</v>
      </c>
      <c r="G21" s="24" t="n">
        <v>7020</v>
      </c>
      <c r="H21" s="15" t="n">
        <f aca="false">IF(AND(F21="",G21=""),"",IFERROR(IF(F21="",0,F21)+IF(G21="",0,G21),""))</f>
        <v>9009</v>
      </c>
      <c r="I21" s="16" t="n">
        <v>0.3</v>
      </c>
      <c r="J21" s="17" t="n">
        <f aca="false">IF(H21="","",IFERROR(H21*(1+IF(I21="",0,I21)),""))</f>
        <v>11711.7</v>
      </c>
      <c r="K21" s="18" t="n">
        <f aca="false">IF(J21="","",IFERROR(J21/$D$3,""))</f>
        <v>100.1</v>
      </c>
      <c r="L21" s="27" t="n">
        <v>0.2</v>
      </c>
      <c r="M21" s="28" t="n">
        <v>0.5</v>
      </c>
      <c r="N21" s="28" t="n">
        <v>0.0083</v>
      </c>
      <c r="O21" s="27" t="n">
        <v>0.02</v>
      </c>
      <c r="P21" s="29" t="s">
        <v>73</v>
      </c>
    </row>
    <row r="22" customFormat="false" ht="21.75" hidden="false" customHeight="true" outlineLevel="0" collapsed="false">
      <c r="A22" s="12" t="s">
        <v>74</v>
      </c>
      <c r="B22" s="13" t="s">
        <v>58</v>
      </c>
      <c r="C22" s="13" t="s">
        <v>75</v>
      </c>
      <c r="D22" s="13" t="s">
        <v>76</v>
      </c>
      <c r="E22" s="12" t="s">
        <v>26</v>
      </c>
      <c r="F22" s="14" t="n">
        <v>1989</v>
      </c>
      <c r="G22" s="24" t="n">
        <v>2925</v>
      </c>
      <c r="H22" s="15" t="n">
        <f aca="false">IF(AND(F22="",G22=""),"",IFERROR(IF(F22="",0,F22)+IF(G22="",0,G22),""))</f>
        <v>4914</v>
      </c>
      <c r="I22" s="16" t="n">
        <v>0.3</v>
      </c>
      <c r="J22" s="17" t="n">
        <f aca="false">IF(H22="","",IFERROR(H22*(1+IF(I22="",0,I22)),""))</f>
        <v>6388.2</v>
      </c>
      <c r="K22" s="18" t="n">
        <f aca="false">IF(J22="","",IFERROR(J22/$D$3,""))</f>
        <v>54.6</v>
      </c>
      <c r="L22" s="19" t="n">
        <v>0</v>
      </c>
      <c r="M22" s="20" t="n">
        <v>0</v>
      </c>
      <c r="N22" s="20" t="n">
        <v>0.1</v>
      </c>
      <c r="O22" s="19" t="n">
        <v>0.25</v>
      </c>
      <c r="P22" s="21" t="s">
        <v>55</v>
      </c>
    </row>
    <row r="23" customFormat="false" ht="21.75" hidden="false" customHeight="true" outlineLevel="0" collapsed="false">
      <c r="A23" s="22" t="s">
        <v>77</v>
      </c>
      <c r="B23" s="23" t="s">
        <v>58</v>
      </c>
      <c r="C23" s="23" t="s">
        <v>78</v>
      </c>
      <c r="D23" s="23" t="s">
        <v>79</v>
      </c>
      <c r="E23" s="22" t="s">
        <v>26</v>
      </c>
      <c r="F23" s="14" t="n">
        <v>1989</v>
      </c>
      <c r="G23" s="24" t="n">
        <v>2574</v>
      </c>
      <c r="H23" s="15" t="n">
        <f aca="false">IF(AND(F23="",G23=""),"",IFERROR(IF(F23="",0,F23)+IF(G23="",0,G23),""))</f>
        <v>4563</v>
      </c>
      <c r="I23" s="16" t="n">
        <v>0.3</v>
      </c>
      <c r="J23" s="17" t="n">
        <f aca="false">IF(H23="","",IFERROR(H23*(1+IF(I23="",0,I23)),""))</f>
        <v>5931.9</v>
      </c>
      <c r="K23" s="18" t="n">
        <f aca="false">IF(J23="","",IFERROR(J23/$D$3,""))</f>
        <v>50.7</v>
      </c>
      <c r="L23" s="19" t="n">
        <v>0</v>
      </c>
      <c r="M23" s="20" t="n">
        <v>0</v>
      </c>
      <c r="N23" s="20" t="n">
        <v>0.05</v>
      </c>
      <c r="O23" s="19" t="n">
        <v>0.15</v>
      </c>
      <c r="P23" s="25" t="s">
        <v>55</v>
      </c>
    </row>
    <row r="24" customFormat="false" ht="19.5" hidden="false" customHeight="true" outlineLevel="0" collapsed="false">
      <c r="A24" s="11" t="s">
        <v>80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customFormat="false" ht="21.75" hidden="false" customHeight="true" outlineLevel="0" collapsed="false">
      <c r="A25" s="12" t="s">
        <v>81</v>
      </c>
      <c r="B25" s="13" t="s">
        <v>82</v>
      </c>
      <c r="C25" s="13" t="s">
        <v>83</v>
      </c>
      <c r="D25" s="13" t="s">
        <v>84</v>
      </c>
      <c r="E25" s="12" t="s">
        <v>26</v>
      </c>
      <c r="F25" s="14" t="n">
        <v>1989</v>
      </c>
      <c r="G25" s="14" t="n">
        <v>3510</v>
      </c>
      <c r="H25" s="15" t="n">
        <f aca="false">IF(AND(F25="",G25=""),"",IFERROR(IF(F25="",0,F25)+IF(G25="",0,G25),""))</f>
        <v>5499</v>
      </c>
      <c r="I25" s="16" t="n">
        <v>0.3</v>
      </c>
      <c r="J25" s="17" t="n">
        <f aca="false">IF(H25="","",IFERROR(H25*(1+IF(I25="",0,I25)),""))</f>
        <v>7148.7</v>
      </c>
      <c r="K25" s="18" t="n">
        <f aca="false">IF(J25="","",IFERROR(J25/$D$3,""))</f>
        <v>61.1</v>
      </c>
      <c r="L25" s="19" t="n">
        <v>0.1</v>
      </c>
      <c r="M25" s="20" t="n">
        <v>0.2</v>
      </c>
      <c r="N25" s="20" t="n">
        <v>0.1</v>
      </c>
      <c r="O25" s="19" t="n">
        <v>0.25</v>
      </c>
      <c r="P25" s="21" t="s">
        <v>85</v>
      </c>
    </row>
    <row r="26" customFormat="false" ht="21.75" hidden="false" customHeight="true" outlineLevel="0" collapsed="false">
      <c r="A26" s="22" t="s">
        <v>86</v>
      </c>
      <c r="B26" s="23" t="s">
        <v>82</v>
      </c>
      <c r="C26" s="23" t="s">
        <v>87</v>
      </c>
      <c r="D26" s="23" t="s">
        <v>88</v>
      </c>
      <c r="E26" s="22" t="s">
        <v>26</v>
      </c>
      <c r="F26" s="14" t="n">
        <v>1989</v>
      </c>
      <c r="G26" s="24" t="n">
        <v>5265</v>
      </c>
      <c r="H26" s="15" t="n">
        <f aca="false">IF(AND(F26="",G26=""),"",IFERROR(IF(F26="",0,F26)+IF(G26="",0,G26),""))</f>
        <v>7254</v>
      </c>
      <c r="I26" s="16" t="n">
        <v>0.3</v>
      </c>
      <c r="J26" s="17" t="n">
        <f aca="false">IF(H26="","",IFERROR(H26*(1+IF(I26="",0,I26)),""))</f>
        <v>9430.2</v>
      </c>
      <c r="K26" s="18" t="n">
        <f aca="false">IF(J26="","",IFERROR(J26/$D$3,""))</f>
        <v>80.6</v>
      </c>
      <c r="L26" s="19" t="n">
        <v>0.2</v>
      </c>
      <c r="M26" s="20" t="n">
        <v>0.5</v>
      </c>
      <c r="N26" s="20" t="n">
        <v>0.03</v>
      </c>
      <c r="O26" s="19" t="n">
        <v>0.08</v>
      </c>
      <c r="P26" s="25" t="s">
        <v>89</v>
      </c>
    </row>
    <row r="27" customFormat="false" ht="19.5" hidden="false" customHeight="true" outlineLevel="0" collapsed="false">
      <c r="A27" s="11" t="s">
        <v>90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customFormat="false" ht="21.75" hidden="false" customHeight="true" outlineLevel="0" collapsed="false">
      <c r="A28" s="12" t="s">
        <v>91</v>
      </c>
      <c r="B28" s="13" t="s">
        <v>92</v>
      </c>
      <c r="C28" s="13" t="s">
        <v>93</v>
      </c>
      <c r="D28" s="13" t="s">
        <v>94</v>
      </c>
      <c r="E28" s="12" t="s">
        <v>26</v>
      </c>
      <c r="F28" s="14" t="n">
        <v>1989</v>
      </c>
      <c r="G28" s="14" t="n">
        <v>3510</v>
      </c>
      <c r="H28" s="15" t="n">
        <f aca="false">IF(AND(F28="",G28=""),"",IFERROR(IF(F28="",0,F28)+IF(G28="",0,G28),""))</f>
        <v>5499</v>
      </c>
      <c r="I28" s="16" t="n">
        <v>0.3</v>
      </c>
      <c r="J28" s="17" t="n">
        <f aca="false">IF(H28="","",IFERROR(H28*(1+IF(I28="",0,I28)),""))</f>
        <v>7148.7</v>
      </c>
      <c r="K28" s="18" t="n">
        <f aca="false">IF(J28="","",IFERROR(J28/$D$3,""))</f>
        <v>61.1</v>
      </c>
      <c r="L28" s="19" t="n">
        <v>0.3</v>
      </c>
      <c r="M28" s="20" t="n">
        <v>0.6</v>
      </c>
      <c r="N28" s="20" t="n">
        <v>0.2</v>
      </c>
      <c r="O28" s="19" t="n">
        <v>0.4</v>
      </c>
      <c r="P28" s="21" t="s">
        <v>95</v>
      </c>
    </row>
    <row r="29" customFormat="false" ht="21.75" hidden="false" customHeight="true" outlineLevel="0" collapsed="false">
      <c r="A29" s="22" t="s">
        <v>96</v>
      </c>
      <c r="B29" s="23" t="s">
        <v>92</v>
      </c>
      <c r="C29" s="23" t="s">
        <v>97</v>
      </c>
      <c r="D29" s="23" t="s">
        <v>98</v>
      </c>
      <c r="E29" s="22" t="s">
        <v>26</v>
      </c>
      <c r="F29" s="14" t="n">
        <v>1989</v>
      </c>
      <c r="G29" s="24" t="n">
        <v>3042</v>
      </c>
      <c r="H29" s="15" t="n">
        <f aca="false">IF(AND(F29="",G29=""),"",IFERROR(IF(F29="",0,F29)+IF(G29="",0,G29),""))</f>
        <v>5031</v>
      </c>
      <c r="I29" s="16" t="n">
        <v>0.3</v>
      </c>
      <c r="J29" s="17" t="n">
        <f aca="false">IF(H29="","",IFERROR(H29*(1+IF(I29="",0,I29)),""))</f>
        <v>6540.3</v>
      </c>
      <c r="K29" s="18" t="n">
        <f aca="false">IF(J29="","",IFERROR(J29/$D$3,""))</f>
        <v>55.9</v>
      </c>
      <c r="L29" s="19" t="n">
        <v>0</v>
      </c>
      <c r="M29" s="20" t="n">
        <v>0</v>
      </c>
      <c r="N29" s="20" t="n">
        <v>0.3</v>
      </c>
      <c r="O29" s="19" t="n">
        <v>0.6</v>
      </c>
      <c r="P29" s="25" t="s">
        <v>55</v>
      </c>
    </row>
    <row r="30" customFormat="false" ht="19.5" hidden="false" customHeight="true" outlineLevel="0" collapsed="false">
      <c r="A30" s="11" t="s">
        <v>99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21.75" hidden="false" customHeight="true" outlineLevel="0" collapsed="false">
      <c r="A31" s="12" t="s">
        <v>100</v>
      </c>
      <c r="B31" s="13" t="s">
        <v>101</v>
      </c>
      <c r="C31" s="13" t="s">
        <v>102</v>
      </c>
      <c r="D31" s="13" t="s">
        <v>103</v>
      </c>
      <c r="E31" s="12" t="s">
        <v>26</v>
      </c>
      <c r="F31" s="14" t="n">
        <v>1989</v>
      </c>
      <c r="G31" s="14" t="n">
        <v>3042</v>
      </c>
      <c r="H31" s="15" t="n">
        <f aca="false">IF(AND(F31="",G31=""),"",IFERROR(IF(F31="",0,F31)+IF(G31="",0,G31),""))</f>
        <v>5031</v>
      </c>
      <c r="I31" s="16" t="n">
        <v>0.3</v>
      </c>
      <c r="J31" s="17" t="n">
        <f aca="false">IF(H31="","",IFERROR(H31*(1+IF(I31="",0,I31)),""))</f>
        <v>6540.3</v>
      </c>
      <c r="K31" s="18" t="n">
        <f aca="false">IF(J31="","",IFERROR(J31/$D$3,""))</f>
        <v>55.9</v>
      </c>
      <c r="L31" s="19" t="n">
        <v>0</v>
      </c>
      <c r="M31" s="20" t="n">
        <v>0</v>
      </c>
      <c r="N31" s="20" t="n">
        <v>0.03</v>
      </c>
      <c r="O31" s="19" t="n">
        <v>0.05</v>
      </c>
      <c r="P31" s="21" t="s">
        <v>104</v>
      </c>
    </row>
    <row r="32" customFormat="false" ht="21.75" hidden="false" customHeight="true" outlineLevel="0" collapsed="false">
      <c r="A32" s="22" t="s">
        <v>105</v>
      </c>
      <c r="B32" s="23" t="s">
        <v>101</v>
      </c>
      <c r="C32" s="23" t="s">
        <v>106</v>
      </c>
      <c r="D32" s="23" t="s">
        <v>107</v>
      </c>
      <c r="E32" s="22" t="s">
        <v>26</v>
      </c>
      <c r="F32" s="14" t="n">
        <v>1989</v>
      </c>
      <c r="G32" s="14" t="n">
        <v>3042</v>
      </c>
      <c r="H32" s="15" t="n">
        <f aca="false">IF(AND(F32="",G32=""),"",IFERROR(IF(F32="",0,F32)+IF(G32="",0,G32),""))</f>
        <v>5031</v>
      </c>
      <c r="I32" s="16" t="n">
        <v>0.3</v>
      </c>
      <c r="J32" s="17" t="n">
        <f aca="false">IF(H32="","",IFERROR(H32*(1+IF(I32="",0,I32)),""))</f>
        <v>6540.3</v>
      </c>
      <c r="K32" s="18" t="n">
        <f aca="false">IF(J32="","",IFERROR(J32/$D$3,""))</f>
        <v>55.9</v>
      </c>
      <c r="L32" s="19" t="n">
        <v>0.2</v>
      </c>
      <c r="M32" s="20" t="n">
        <v>0.5</v>
      </c>
      <c r="N32" s="20" t="n">
        <v>0.5</v>
      </c>
      <c r="O32" s="19" t="n">
        <v>1.5</v>
      </c>
      <c r="P32" s="25" t="s">
        <v>108</v>
      </c>
    </row>
    <row r="33" customFormat="false" ht="21.75" hidden="false" customHeight="true" outlineLevel="0" collapsed="false">
      <c r="A33" s="12" t="s">
        <v>109</v>
      </c>
      <c r="B33" s="13" t="s">
        <v>101</v>
      </c>
      <c r="C33" s="13" t="s">
        <v>110</v>
      </c>
      <c r="D33" s="13" t="s">
        <v>111</v>
      </c>
      <c r="E33" s="12" t="s">
        <v>26</v>
      </c>
      <c r="F33" s="14" t="n">
        <v>1989</v>
      </c>
      <c r="G33" s="14" t="n">
        <v>3042</v>
      </c>
      <c r="H33" s="15" t="n">
        <f aca="false">IF(AND(F33="",G33=""),"",IFERROR(IF(F33="",0,F33)+IF(G33="",0,G33),""))</f>
        <v>5031</v>
      </c>
      <c r="I33" s="16" t="n">
        <v>0.3</v>
      </c>
      <c r="J33" s="17" t="n">
        <f aca="false">IF(H33="","",IFERROR(H33*(1+IF(I33="",0,I33)),""))</f>
        <v>6540.3</v>
      </c>
      <c r="K33" s="18" t="n">
        <f aca="false">IF(J33="","",IFERROR(J33/$D$3,""))</f>
        <v>55.9</v>
      </c>
      <c r="L33" s="19" t="n">
        <v>0</v>
      </c>
      <c r="M33" s="20" t="n">
        <v>0</v>
      </c>
      <c r="N33" s="20" t="n">
        <v>0.1</v>
      </c>
      <c r="O33" s="19" t="n">
        <v>0.2</v>
      </c>
      <c r="P33" s="21" t="s">
        <v>112</v>
      </c>
    </row>
    <row r="34" customFormat="false" ht="21.75" hidden="false" customHeight="true" outlineLevel="0" collapsed="false">
      <c r="A34" s="22" t="s">
        <v>113</v>
      </c>
      <c r="B34" s="23" t="s">
        <v>101</v>
      </c>
      <c r="C34" s="23" t="s">
        <v>114</v>
      </c>
      <c r="D34" s="23" t="s">
        <v>115</v>
      </c>
      <c r="E34" s="22" t="s">
        <v>26</v>
      </c>
      <c r="F34" s="14" t="n">
        <v>1989</v>
      </c>
      <c r="G34" s="14" t="n">
        <v>3042</v>
      </c>
      <c r="H34" s="15" t="n">
        <f aca="false">IF(AND(F34="",G34=""),"",IFERROR(IF(F34="",0,F34)+IF(G34="",0,G34),""))</f>
        <v>5031</v>
      </c>
      <c r="I34" s="16" t="n">
        <v>0.3</v>
      </c>
      <c r="J34" s="17" t="n">
        <f aca="false">IF(H34="","",IFERROR(H34*(1+IF(I34="",0,I34)),""))</f>
        <v>6540.3</v>
      </c>
      <c r="K34" s="18" t="n">
        <f aca="false">IF(J34="","",IFERROR(J34/$D$3,""))</f>
        <v>55.9</v>
      </c>
      <c r="L34" s="19" t="n">
        <v>0</v>
      </c>
      <c r="M34" s="20" t="n">
        <v>0</v>
      </c>
      <c r="N34" s="20" t="n">
        <v>0.3</v>
      </c>
      <c r="O34" s="19" t="n">
        <v>0.75</v>
      </c>
      <c r="P34" s="25" t="s">
        <v>55</v>
      </c>
    </row>
    <row r="35" customFormat="false" ht="19.5" hidden="false" customHeight="true" outlineLevel="0" collapsed="false">
      <c r="A35" s="11" t="s">
        <v>116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customFormat="false" ht="21.75" hidden="false" customHeight="true" outlineLevel="0" collapsed="false">
      <c r="A36" s="12" t="s">
        <v>117</v>
      </c>
      <c r="B36" s="13" t="s">
        <v>118</v>
      </c>
      <c r="C36" s="13" t="s">
        <v>119</v>
      </c>
      <c r="D36" s="13" t="s">
        <v>120</v>
      </c>
      <c r="E36" s="12" t="s">
        <v>26</v>
      </c>
      <c r="F36" s="14" t="n">
        <v>1989</v>
      </c>
      <c r="G36" s="14" t="n">
        <v>4680</v>
      </c>
      <c r="H36" s="15" t="n">
        <f aca="false">IF(AND(F36="",G36=""),"",IFERROR(IF(F36="",0,F36)+IF(G36="",0,G36),""))</f>
        <v>6669</v>
      </c>
      <c r="I36" s="16" t="n">
        <v>0.3</v>
      </c>
      <c r="J36" s="17" t="n">
        <f aca="false">IF(H36="","",IFERROR(H36*(1+IF(I36="",0,I36)),""))</f>
        <v>8669.7</v>
      </c>
      <c r="K36" s="18" t="n">
        <f aca="false">IF(J36="","",IFERROR(J36/$D$3,""))</f>
        <v>74.1</v>
      </c>
      <c r="L36" s="19" t="n">
        <v>0</v>
      </c>
      <c r="M36" s="20" t="n">
        <v>0</v>
      </c>
      <c r="N36" s="20" t="n">
        <v>0.05</v>
      </c>
      <c r="O36" s="19" t="n">
        <v>0.1</v>
      </c>
      <c r="P36" s="21" t="s">
        <v>55</v>
      </c>
    </row>
    <row r="37" customFormat="false" ht="21.75" hidden="false" customHeight="true" outlineLevel="0" collapsed="false">
      <c r="A37" s="22" t="s">
        <v>121</v>
      </c>
      <c r="B37" s="23" t="s">
        <v>118</v>
      </c>
      <c r="C37" s="23" t="s">
        <v>122</v>
      </c>
      <c r="D37" s="23" t="s">
        <v>123</v>
      </c>
      <c r="E37" s="22" t="s">
        <v>26</v>
      </c>
      <c r="F37" s="14" t="n">
        <v>1989</v>
      </c>
      <c r="G37" s="14" t="n">
        <v>4680</v>
      </c>
      <c r="H37" s="15" t="n">
        <f aca="false">IF(AND(F37="",G37=""),"",IFERROR(IF(F37="",0,F37)+IF(G37="",0,G37),""))</f>
        <v>6669</v>
      </c>
      <c r="I37" s="16" t="n">
        <v>0.3</v>
      </c>
      <c r="J37" s="17" t="n">
        <f aca="false">IF(H37="","",IFERROR(H37*(1+IF(I37="",0,I37)),""))</f>
        <v>8669.7</v>
      </c>
      <c r="K37" s="18" t="n">
        <f aca="false">IF(J37="","",IFERROR(J37/$D$3,""))</f>
        <v>74.1</v>
      </c>
      <c r="L37" s="19" t="n">
        <v>0</v>
      </c>
      <c r="M37" s="20" t="n">
        <v>0</v>
      </c>
      <c r="N37" s="20" t="n">
        <v>0.15</v>
      </c>
      <c r="O37" s="19" t="n">
        <v>0.3</v>
      </c>
      <c r="P37" s="25" t="s">
        <v>124</v>
      </c>
    </row>
    <row r="38" customFormat="false" ht="19.5" hidden="false" customHeight="true" outlineLevel="0" collapsed="false">
      <c r="A38" s="11" t="s">
        <v>125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customFormat="false" ht="21.75" hidden="false" customHeight="true" outlineLevel="0" collapsed="false">
      <c r="A39" s="12" t="s">
        <v>126</v>
      </c>
      <c r="B39" s="13" t="s">
        <v>127</v>
      </c>
      <c r="C39" s="13" t="s">
        <v>128</v>
      </c>
      <c r="D39" s="13" t="s">
        <v>129</v>
      </c>
      <c r="E39" s="12" t="s">
        <v>26</v>
      </c>
      <c r="F39" s="14" t="n">
        <v>1989</v>
      </c>
      <c r="G39" s="14" t="n">
        <v>2574</v>
      </c>
      <c r="H39" s="15" t="n">
        <f aca="false">IF(AND(F39="",G39=""),"",IFERROR(IF(F39="",0,F39)+IF(G39="",0,G39),""))</f>
        <v>4563</v>
      </c>
      <c r="I39" s="16" t="n">
        <v>0.3</v>
      </c>
      <c r="J39" s="17" t="n">
        <f aca="false">IF(H39="","",IFERROR(H39*(1+IF(I39="",0,I39)),""))</f>
        <v>5931.9</v>
      </c>
      <c r="K39" s="18" t="n">
        <f aca="false">IF(J39="","",IFERROR(J39/$D$3,""))</f>
        <v>50.7</v>
      </c>
      <c r="L39" s="19" t="n">
        <v>0</v>
      </c>
      <c r="M39" s="20" t="n">
        <v>0</v>
      </c>
      <c r="N39" s="20" t="n">
        <v>0.1</v>
      </c>
      <c r="O39" s="19" t="n">
        <v>0.2</v>
      </c>
      <c r="P39" s="21" t="s">
        <v>55</v>
      </c>
    </row>
    <row r="40" customFormat="false" ht="21.75" hidden="false" customHeight="true" outlineLevel="0" collapsed="false">
      <c r="A40" s="22" t="s">
        <v>130</v>
      </c>
      <c r="B40" s="23" t="s">
        <v>127</v>
      </c>
      <c r="C40" s="23" t="s">
        <v>131</v>
      </c>
      <c r="D40" s="23" t="s">
        <v>132</v>
      </c>
      <c r="E40" s="22" t="s">
        <v>26</v>
      </c>
      <c r="F40" s="14" t="n">
        <v>1989</v>
      </c>
      <c r="G40" s="14" t="n">
        <v>2574</v>
      </c>
      <c r="H40" s="15" t="n">
        <f aca="false">IF(AND(F40="",G40=""),"",IFERROR(IF(F40="",0,F40)+IF(G40="",0,G40),""))</f>
        <v>4563</v>
      </c>
      <c r="I40" s="16" t="n">
        <v>0.3</v>
      </c>
      <c r="J40" s="17" t="n">
        <f aca="false">IF(H40="","",IFERROR(H40*(1+IF(I40="",0,I40)),""))</f>
        <v>5931.9</v>
      </c>
      <c r="K40" s="18" t="n">
        <f aca="false">IF(J40="","",IFERROR(J40/$D$3,""))</f>
        <v>50.7</v>
      </c>
      <c r="L40" s="19" t="n">
        <v>0</v>
      </c>
      <c r="M40" s="20" t="n">
        <v>0</v>
      </c>
      <c r="N40" s="20" t="n">
        <v>0.2</v>
      </c>
      <c r="O40" s="19" t="n">
        <v>0.4</v>
      </c>
      <c r="P40" s="25" t="s">
        <v>133</v>
      </c>
    </row>
    <row r="41" customFormat="false" ht="74.25" hidden="false" customHeight="true" outlineLevel="0" collapsed="false">
      <c r="A41" s="12" t="s">
        <v>134</v>
      </c>
      <c r="B41" s="13" t="s">
        <v>23</v>
      </c>
      <c r="C41" s="13" t="s">
        <v>135</v>
      </c>
      <c r="D41" s="13" t="s">
        <v>136</v>
      </c>
      <c r="E41" s="12" t="s">
        <v>137</v>
      </c>
      <c r="F41" s="14" t="n">
        <v>1989</v>
      </c>
      <c r="G41" s="14"/>
      <c r="H41" s="15" t="n">
        <f aca="false">IF(AND(F41="",G41=""),"",IFERROR(IF(F41="",0,F41)+IF(G41="",0,G41),""))</f>
        <v>1989</v>
      </c>
      <c r="I41" s="16" t="n">
        <v>0.3</v>
      </c>
      <c r="J41" s="17" t="n">
        <f aca="false">IF(H41="","",IFERROR(H41*(1+IF(I41="",0,I41)),""))</f>
        <v>2585.7</v>
      </c>
      <c r="K41" s="18" t="n">
        <f aca="false">IF(J41="","",IFERROR(J41/$D$3,""))</f>
        <v>22.1</v>
      </c>
      <c r="L41" s="19" t="n">
        <v>0</v>
      </c>
      <c r="M41" s="20" t="n">
        <v>0</v>
      </c>
      <c r="N41" s="20" t="n">
        <v>0.5</v>
      </c>
      <c r="O41" s="19" t="n">
        <v>1.5</v>
      </c>
      <c r="P41" s="21" t="s">
        <v>138</v>
      </c>
    </row>
    <row r="42" customFormat="false" ht="15.75" hidden="false" customHeight="true" outlineLevel="0" collapsed="false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customFormat="false" ht="15.75" hidden="false" customHeight="true" outlineLevel="0" collapsed="false">
      <c r="A43" s="31" t="s">
        <v>139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customFormat="false" ht="15.75" hidden="false" customHeight="true" outlineLevel="0" collapsed="false">
      <c r="A44" s="32" t="s">
        <v>140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customFormat="false" ht="15.75" hidden="false" customHeight="true" outlineLevel="0" collapsed="false">
      <c r="A45" s="33" t="s">
        <v>141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</row>
    <row r="46" customFormat="false" ht="15.75" hidden="false" customHeight="true" outlineLevel="0" collapsed="false">
      <c r="A46" s="34" t="s">
        <v>142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customFormat="false" ht="126.75" hidden="false" customHeight="true" outlineLevel="0" collapsed="false">
      <c r="A47" s="35" t="s">
        <v>143</v>
      </c>
    </row>
    <row r="48" customFormat="false" ht="15" hidden="false" customHeight="true" outlineLevel="0" collapsed="false">
      <c r="A48" s="36" t="s">
        <v>144</v>
      </c>
    </row>
  </sheetData>
  <mergeCells count="18">
    <mergeCell ref="A1:N1"/>
    <mergeCell ref="A2:N2"/>
    <mergeCell ref="A3:C3"/>
    <mergeCell ref="E3:F3"/>
    <mergeCell ref="A4:D4"/>
    <mergeCell ref="A7:N7"/>
    <mergeCell ref="A14:N14"/>
    <mergeCell ref="A17:N17"/>
    <mergeCell ref="A24:N24"/>
    <mergeCell ref="A27:N27"/>
    <mergeCell ref="A30:N30"/>
    <mergeCell ref="A35:N35"/>
    <mergeCell ref="A38:N38"/>
    <mergeCell ref="A42:N42"/>
    <mergeCell ref="A43:N43"/>
    <mergeCell ref="A44:N44"/>
    <mergeCell ref="A45:N45"/>
    <mergeCell ref="A46:N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0"/>
  </cols>
  <sheetData>
    <row r="1" customFormat="false" ht="36" hidden="false" customHeight="true" outlineLevel="0" collapsed="false">
      <c r="A1" s="2" t="s">
        <v>145</v>
      </c>
      <c r="B1" s="2"/>
    </row>
    <row r="2" customFormat="false" ht="18" hidden="false" customHeight="true" outlineLevel="0" collapsed="false">
      <c r="A2" s="37"/>
      <c r="B2" s="38"/>
    </row>
    <row r="3" customFormat="false" ht="18" hidden="false" customHeight="true" outlineLevel="0" collapsed="false">
      <c r="A3" s="39" t="s">
        <v>146</v>
      </c>
      <c r="B3" s="40" t="s">
        <v>147</v>
      </c>
    </row>
    <row r="4" customFormat="false" ht="15" hidden="false" customHeight="true" outlineLevel="0" collapsed="false">
      <c r="A4" s="37" t="s">
        <v>148</v>
      </c>
      <c r="B4" s="38" t="s">
        <v>149</v>
      </c>
    </row>
    <row r="5" customFormat="false" ht="15" hidden="false" customHeight="true" outlineLevel="0" collapsed="false">
      <c r="A5" s="41" t="s">
        <v>150</v>
      </c>
      <c r="B5" s="42" t="s">
        <v>151</v>
      </c>
    </row>
    <row r="6" customFormat="false" ht="15" hidden="false" customHeight="true" outlineLevel="0" collapsed="false">
      <c r="A6" s="37" t="s">
        <v>152</v>
      </c>
      <c r="B6" s="38" t="s">
        <v>153</v>
      </c>
    </row>
    <row r="7" customFormat="false" ht="15" hidden="false" customHeight="true" outlineLevel="0" collapsed="false">
      <c r="A7" s="41"/>
      <c r="B7" s="42" t="s">
        <v>154</v>
      </c>
    </row>
    <row r="8" customFormat="false" ht="25.5" hidden="false" customHeight="true" outlineLevel="0" collapsed="false">
      <c r="A8" s="37"/>
      <c r="B8" s="38" t="s">
        <v>155</v>
      </c>
    </row>
    <row r="9" customFormat="false" ht="15" hidden="false" customHeight="true" outlineLevel="0" collapsed="false">
      <c r="A9" s="41"/>
      <c r="B9" s="42" t="s">
        <v>156</v>
      </c>
    </row>
    <row r="10" customFormat="false" ht="25.5" hidden="false" customHeight="true" outlineLevel="0" collapsed="false">
      <c r="A10" s="37"/>
      <c r="B10" s="38" t="s">
        <v>157</v>
      </c>
    </row>
    <row r="11" customFormat="false" ht="15" hidden="false" customHeight="true" outlineLevel="0" collapsed="false">
      <c r="A11" s="41"/>
      <c r="B11" s="42" t="s">
        <v>158</v>
      </c>
    </row>
    <row r="12" customFormat="false" ht="15" hidden="false" customHeight="true" outlineLevel="0" collapsed="false">
      <c r="B12" s="1" t="s">
        <v>159</v>
      </c>
    </row>
    <row r="13" customFormat="false" ht="15" hidden="false" customHeight="true" outlineLevel="0" collapsed="false">
      <c r="B13" s="1" t="s">
        <v>160</v>
      </c>
    </row>
    <row r="14" customFormat="false" ht="15" hidden="false" customHeight="true" outlineLevel="0" collapsed="false">
      <c r="B14" s="1" t="s">
        <v>161</v>
      </c>
    </row>
    <row r="15" customFormat="false" ht="18" hidden="false" customHeight="true" outlineLevel="0" collapsed="false">
      <c r="A15" s="37"/>
      <c r="B15" s="38"/>
    </row>
    <row r="16" customFormat="false" ht="15" hidden="false" customHeight="true" outlineLevel="0" collapsed="false">
      <c r="A16" s="41" t="s">
        <v>162</v>
      </c>
      <c r="B16" s="42" t="s">
        <v>163</v>
      </c>
    </row>
    <row r="17" customFormat="false" ht="15" hidden="false" customHeight="true" outlineLevel="0" collapsed="false">
      <c r="A17" s="41"/>
      <c r="B17" s="42"/>
    </row>
    <row r="18" customFormat="false" ht="15" hidden="false" customHeight="true" outlineLevel="0" collapsed="false">
      <c r="A18" s="39" t="s">
        <v>164</v>
      </c>
      <c r="B18" s="40" t="s">
        <v>165</v>
      </c>
    </row>
    <row r="19" customFormat="false" ht="15" hidden="false" customHeight="true" outlineLevel="0" collapsed="false">
      <c r="A19" s="41" t="s">
        <v>148</v>
      </c>
      <c r="B19" s="42" t="s">
        <v>166</v>
      </c>
    </row>
    <row r="20" customFormat="false" ht="25.5" hidden="false" customHeight="true" outlineLevel="0" collapsed="false">
      <c r="A20" s="37" t="s">
        <v>150</v>
      </c>
      <c r="B20" s="38" t="s">
        <v>167</v>
      </c>
    </row>
    <row r="21" customFormat="false" ht="25.5" hidden="false" customHeight="true" outlineLevel="0" collapsed="false">
      <c r="A21" s="41" t="s">
        <v>152</v>
      </c>
      <c r="B21" s="42" t="s">
        <v>168</v>
      </c>
    </row>
    <row r="22" customFormat="false" ht="15" hidden="false" customHeight="true" outlineLevel="0" collapsed="false">
      <c r="A22" s="37"/>
      <c r="B22" s="38" t="s">
        <v>169</v>
      </c>
    </row>
    <row r="23" customFormat="false" ht="23.25" hidden="false" customHeight="true" outlineLevel="0" collapsed="false">
      <c r="A23" s="41"/>
      <c r="B23" s="42" t="s">
        <v>170</v>
      </c>
    </row>
    <row r="24" customFormat="false" ht="15" hidden="false" customHeight="true" outlineLevel="0" collapsed="false">
      <c r="A24" s="37"/>
      <c r="B24" s="38" t="s">
        <v>171</v>
      </c>
    </row>
    <row r="25" customFormat="false" ht="23.25" hidden="false" customHeight="true" outlineLevel="0" collapsed="false">
      <c r="A25" s="41"/>
      <c r="B25" s="42" t="s">
        <v>172</v>
      </c>
    </row>
    <row r="26" customFormat="false" ht="15" hidden="false" customHeight="true" outlineLevel="0" collapsed="false">
      <c r="A26" s="37"/>
      <c r="B26" s="38" t="s">
        <v>173</v>
      </c>
    </row>
    <row r="27" customFormat="false" ht="15" hidden="false" customHeight="true" outlineLevel="0" collapsed="false">
      <c r="B27" s="1" t="s">
        <v>174</v>
      </c>
    </row>
    <row r="28" customFormat="false" ht="15" hidden="false" customHeight="true" outlineLevel="0" collapsed="false">
      <c r="B28" s="1" t="s">
        <v>175</v>
      </c>
    </row>
    <row r="29" customFormat="false" ht="15" hidden="false" customHeight="true" outlineLevel="0" collapsed="false">
      <c r="B29" s="1" t="s">
        <v>176</v>
      </c>
    </row>
    <row r="30" customFormat="false" ht="15" hidden="false" customHeight="true" outlineLevel="0" collapsed="false">
      <c r="A30" s="41"/>
      <c r="B30" s="42"/>
    </row>
    <row r="31" customFormat="false" ht="15" hidden="false" customHeight="true" outlineLevel="0" collapsed="false">
      <c r="A31" s="37" t="s">
        <v>162</v>
      </c>
      <c r="B31" s="38" t="s">
        <v>177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2026-06-10T07:13:52Z</dcterms:created>
  <dc:creator>openpyxl</dc:creator>
  <dc:description/>
  <dc:language>en-US</dc:language>
  <cp:lastModifiedBy>Vojislav Gavrilovic</cp:lastModifiedBy>
  <dcterms:modified xsi:type="dcterms:W3CDTF">2026-06-19T06:53:13Z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