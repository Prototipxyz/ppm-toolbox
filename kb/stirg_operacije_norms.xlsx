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peracije | Operations" sheetId="1" state="visible" r:id="rId1"/>
    <sheet xmlns:r="http://schemas.openxmlformats.org/officeDocument/2006/relationships" name="Uputstvo | 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%"/>
    <numFmt numFmtId="166" formatCode="0.000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64748B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i val="1"/>
      <color rgb="FF92400E"/>
      <sz val="9"/>
    </font>
    <font>
      <name val="Arial"/>
      <charset val="1"/>
      <family val="0"/>
      <color rgb="FF64748B"/>
      <sz val="9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0000FF"/>
      <sz val="10"/>
    </font>
    <font>
      <name val="Arial"/>
      <charset val="1"/>
      <family val="0"/>
      <i val="1"/>
      <color rgb="FFB45309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92400E"/>
      <sz val="9"/>
    </font>
    <font>
      <name val="Arial"/>
      <charset val="1"/>
      <family val="0"/>
      <color rgb="FF334155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i val="1"/>
      <color rgb="00000000"/>
      <sz val="11"/>
    </font>
  </fonts>
  <fills count="12">
    <fill>
      <patternFill/>
    </fill>
    <fill>
      <patternFill patternType="gray125"/>
    </fill>
    <fill>
      <patternFill patternType="solid">
        <fgColor rgb="FF1D4ED8"/>
        <bgColor rgb="FF3366FF"/>
      </patternFill>
    </fill>
    <fill>
      <patternFill patternType="solid">
        <fgColor rgb="FFFFFFFF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E3A5F"/>
        <bgColor rgb="FF334155"/>
      </patternFill>
    </fill>
    <fill>
      <patternFill patternType="solid">
        <fgColor rgb="FFEFF6FF"/>
        <bgColor rgb="FFF8FAFC"/>
      </patternFill>
    </fill>
    <fill>
      <patternFill patternType="solid">
        <fgColor rgb="FFF0FDF4"/>
        <bgColor rgb="FFF8FAFC"/>
      </patternFill>
    </fill>
    <fill>
      <patternFill patternType="solid">
        <fgColor rgb="FFFEF9C3"/>
        <bgColor rgb="FFFFFF99"/>
      </patternFill>
    </fill>
    <fill>
      <patternFill patternType="solid">
        <fgColor rgb="FFF8FAFC"/>
        <bgColor rgb="FFFFFFFF"/>
      </patternFill>
    </fill>
    <fill>
      <patternFill patternType="solid">
        <fgColor rgb="00FFFFFF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4" fontId="7" fillId="4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164" fontId="10" fillId="4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3" fontId="14" fillId="3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165" fontId="14" fillId="3" borderId="1" applyAlignment="1" pivotButton="0" quotePrefix="0" xfId="0">
      <alignment horizontal="center" vertical="center" wrapText="1"/>
    </xf>
    <xf numFmtId="3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166" fontId="15" fillId="8" borderId="1" applyAlignment="1" pivotButton="0" quotePrefix="0" xfId="0">
      <alignment horizontal="center" vertical="center" wrapText="1"/>
    </xf>
    <xf numFmtId="166" fontId="15" fillId="8" borderId="0" applyAlignment="1" pivotButton="0" quotePrefix="0" xfId="0">
      <alignment horizontal="center" vertical="center" wrapText="1"/>
    </xf>
    <xf numFmtId="49" fontId="16" fillId="3" borderId="1" applyAlignment="1" pivotButton="0" quotePrefix="0" xfId="0">
      <alignment horizontal="left" vertical="center" wrapText="1"/>
    </xf>
    <xf numFmtId="0" fontId="13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left" vertical="center" wrapText="1"/>
    </xf>
    <xf numFmtId="3" fontId="14" fillId="9" borderId="1" applyAlignment="1" pivotButton="0" quotePrefix="0" xfId="0">
      <alignment horizontal="center" vertical="center" wrapText="1"/>
    </xf>
    <xf numFmtId="49" fontId="16" fillId="9" borderId="1" applyAlignment="1" pivotButton="0" quotePrefix="0" xfId="0">
      <alignment horizontal="left" vertical="center" wrapText="1"/>
    </xf>
    <xf numFmtId="165" fontId="14" fillId="9" borderId="1" applyAlignment="1" pivotButton="0" quotePrefix="0" xfId="0">
      <alignment horizontal="center" vertical="center" wrapText="1"/>
    </xf>
    <xf numFmtId="166" fontId="14" fillId="9" borderId="1" applyAlignment="1" pivotButton="0" quotePrefix="0" xfId="0">
      <alignment horizontal="center" vertical="center" wrapText="1"/>
    </xf>
    <xf numFmtId="166" fontId="14" fillId="0" borderId="0" applyAlignment="1" pivotButton="0" quotePrefix="0" xfId="0">
      <alignment horizontal="center" vertical="center" wrapText="1"/>
    </xf>
    <xf numFmtId="49" fontId="14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0" fontId="17" fillId="6" borderId="0" applyAlignment="1" pivotButton="0" quotePrefix="0" xfId="0">
      <alignment horizontal="left" vertical="center" wrapText="1"/>
    </xf>
    <xf numFmtId="0" fontId="17" fillId="7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9" fillId="9" borderId="0" applyAlignment="1" pivotButton="0" quotePrefix="0" xfId="0">
      <alignment horizontal="general" vertical="bottom"/>
    </xf>
    <xf numFmtId="0" fontId="19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general" vertical="bottom"/>
    </xf>
    <xf numFmtId="0" fontId="19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4" fontId="7" fillId="4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164" fontId="10" fillId="4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3" fontId="14" fillId="3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165" fontId="14" fillId="3" borderId="1" applyAlignment="1" pivotButton="0" quotePrefix="0" xfId="0">
      <alignment horizontal="center" vertical="center" wrapText="1"/>
    </xf>
    <xf numFmtId="3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166" fontId="15" fillId="8" borderId="1" applyAlignment="1" pivotButton="0" quotePrefix="0" xfId="0">
      <alignment horizontal="center" vertical="center" wrapText="1"/>
    </xf>
    <xf numFmtId="166" fontId="15" fillId="8" borderId="0" applyAlignment="1" pivotButton="0" quotePrefix="0" xfId="0">
      <alignment horizontal="center" vertical="center" wrapText="1"/>
    </xf>
    <xf numFmtId="49" fontId="16" fillId="3" borderId="1" applyAlignment="1" pivotButton="0" quotePrefix="0" xfId="0">
      <alignment horizontal="left" vertical="center" wrapText="1"/>
    </xf>
    <xf numFmtId="0" fontId="13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left" vertical="center" wrapText="1"/>
    </xf>
    <xf numFmtId="3" fontId="14" fillId="9" borderId="1" applyAlignment="1" pivotButton="0" quotePrefix="0" xfId="0">
      <alignment horizontal="center" vertical="center" wrapText="1"/>
    </xf>
    <xf numFmtId="49" fontId="16" fillId="9" borderId="1" applyAlignment="1" pivotButton="0" quotePrefix="0" xfId="0">
      <alignment horizontal="left" vertical="center" wrapText="1"/>
    </xf>
    <xf numFmtId="165" fontId="14" fillId="9" borderId="1" applyAlignment="1" pivotButton="0" quotePrefix="0" xfId="0">
      <alignment horizontal="center" vertical="center" wrapText="1"/>
    </xf>
    <xf numFmtId="166" fontId="14" fillId="9" borderId="1" applyAlignment="1" pivotButton="0" quotePrefix="0" xfId="0">
      <alignment horizontal="center" vertical="center" wrapText="1"/>
    </xf>
    <xf numFmtId="166" fontId="14" fillId="0" borderId="0" applyAlignment="1" pivotButton="0" quotePrefix="0" xfId="0">
      <alignment horizontal="center" vertical="center" wrapText="1"/>
    </xf>
    <xf numFmtId="49" fontId="14" fillId="9" borderId="1" applyAlignment="1" pivotButton="0" quotePrefix="0" xfId="0">
      <alignment horizontal="left" vertical="center" wrapText="1"/>
    </xf>
    <xf numFmtId="0" fontId="20" fillId="1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left" vertical="center"/>
    </xf>
    <xf numFmtId="0" fontId="21" fillId="10" borderId="2" applyAlignment="1" pivotButton="0" quotePrefix="0" xfId="0">
      <alignment horizontal="left" vertical="center" wrapText="1"/>
    </xf>
    <xf numFmtId="0" fontId="21" fillId="10" borderId="2" applyAlignment="1" pivotButton="0" quotePrefix="0" xfId="0">
      <alignment horizontal="center" vertical="center"/>
    </xf>
    <xf numFmtId="9" fontId="21" fillId="10" borderId="2" applyAlignment="1" pivotButton="0" quotePrefix="0" xfId="0">
      <alignment horizontal="center" vertical="center"/>
    </xf>
    <xf numFmtId="0" fontId="22" fillId="11" borderId="2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0" fontId="17" fillId="6" borderId="0" applyAlignment="1" pivotButton="0" quotePrefix="0" xfId="0">
      <alignment horizontal="left" vertical="center" wrapText="1"/>
    </xf>
    <xf numFmtId="0" fontId="17" fillId="7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9" fillId="9" borderId="0" applyAlignment="1" pivotButton="0" quotePrefix="0" xfId="0">
      <alignment horizontal="general" vertical="bottom"/>
    </xf>
    <xf numFmtId="0" fontId="19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general" vertical="bottom"/>
    </xf>
    <xf numFmtId="0" fontId="19" fillId="3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EF9C3"/>
      <rgbColor rgb="FFF0FDF4"/>
      <rgbColor rgb="FF660066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8FAF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E3A5F"/>
      <rgbColor rgb="FF339966"/>
      <rgbColor rgb="FF003300"/>
      <rgbColor rgb="FF333300"/>
      <rgbColor rgb="FF92400E"/>
      <rgbColor rgb="FF993366"/>
      <rgbColor rgb="FF333399"/>
      <rgbColor rgb="FF3341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0"/>
  <sheetViews>
    <sheetView showFormulas="0" showGridLines="0" showRowColHeaders="1" showZeros="1" rightToLeft="0" tabSelected="1" showOutlineSymbols="1" defaultGridColor="1" view="normal" topLeftCell="A1" colorId="64" zoomScale="130" zoomScaleNormal="130" zoomScalePageLayoutView="100" workbookViewId="0">
      <pane xSplit="0" ySplit="6" topLeftCell="A7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8.71484375" defaultRowHeight="15" zeroHeight="0" outlineLevelRow="0"/>
  <cols>
    <col width="8" customWidth="1" style="43" min="1" max="1"/>
    <col width="22" customWidth="1" style="43" min="2" max="2"/>
    <col width="30" customWidth="1" style="43" min="3" max="4"/>
    <col width="10" customWidth="1" style="43" min="5" max="5"/>
    <col width="16" customWidth="1" style="43" min="6" max="8"/>
    <col width="12" customWidth="1" style="43" min="9" max="9"/>
    <col width="16" customWidth="1" style="43" min="10" max="10"/>
    <col width="14" customWidth="1" style="43" min="11" max="15"/>
    <col width="30" customWidth="1" style="43" min="16" max="16"/>
  </cols>
  <sheetData>
    <row r="1" ht="36" customHeight="1" s="44">
      <c r="A1" s="45" t="inlineStr">
        <is>
          <t>STIRG METAL — Normativi i cene operacija | Operation Norms &amp; Rates</t>
        </is>
      </c>
    </row>
    <row r="2" ht="18" customHeight="1" s="44">
      <c r="A2" s="46" t="inlineStr">
        <is>
          <t>Popuniti plavim ćelijama | Fill in the blue cells — formule su automatske | formulas are automatic</t>
        </is>
      </c>
    </row>
    <row r="3" ht="21.75" customHeight="1" s="44">
      <c r="A3" s="47" t="inlineStr">
        <is>
          <t>Kurs EUR/RSD | EUR/RSD Rate:</t>
        </is>
      </c>
      <c r="D3" s="48" t="n">
        <v>117</v>
      </c>
      <c r="E3" s="49" t="inlineStr">
        <is>
          <t>← Ažurirati po potrebi | Update as needed</t>
        </is>
      </c>
    </row>
    <row r="4" ht="18" customHeight="1" s="44">
      <c r="A4" s="50" t="inlineStr">
        <is>
          <t>Datum izmene | Last updated:</t>
        </is>
      </c>
      <c r="E4" s="51" t="n"/>
    </row>
    <row r="5" ht="6" customHeight="1" s="44"/>
    <row r="6" ht="72" customHeight="1" s="44">
      <c r="A6" s="52" t="inlineStr">
        <is>
          <t>Op.ID</t>
        </is>
      </c>
      <c r="B6" s="52" t="inlineStr">
        <is>
          <t>Kategorija
Category</t>
        </is>
      </c>
      <c r="C6" s="52" t="inlineStr">
        <is>
          <t>Naziv operacije (SRB)
Operation Name (SRB)</t>
        </is>
      </c>
      <c r="D6" s="52" t="inlineStr">
        <is>
          <t>Operation Name (ENG)</t>
        </is>
      </c>
      <c r="E6" s="52" t="inlineStr">
        <is>
          <t>Jed. mere
Unit</t>
        </is>
      </c>
      <c r="F6" s="52" t="inlineStr">
        <is>
          <t>Cena rada — interni trošak
Labor Cost Rate
(RSD/jed | RSD/unit)</t>
        </is>
      </c>
      <c r="G6" s="52" t="inlineStr">
        <is>
          <t>Trošak mašine i režija
Machine + Overhead Rate
(RSD/jed | RSD/unit)</t>
        </is>
      </c>
      <c r="H6" s="52" t="inlineStr">
        <is>
          <t>UKUPNI INTERNI TROŠAK
TOTAL INTERNAL COST
(RSD/jed | RSD/unit)</t>
        </is>
      </c>
      <c r="I6" s="52" t="inlineStr">
        <is>
          <t>Marža %
Markup %</t>
        </is>
      </c>
      <c r="J6" s="52" t="inlineStr">
        <is>
          <t>CENA ZA KUPCA
CUSTOMER QUOTE RATE
(RSD/jed | RSD/unit)</t>
        </is>
      </c>
      <c r="K6" s="52" t="inlineStr">
        <is>
          <t>CENA ZA KUPCA
CUSTOMER QUOTE RATE
(EUR/jed | EUR/unit)</t>
        </is>
      </c>
      <c r="L6" s="52" t="inlineStr">
        <is>
          <t>Podešavanje — standard
Setup — Standard
(h/seriji | h/batch)</t>
        </is>
      </c>
      <c r="M6" s="53" t="inlineStr">
        <is>
          <t>Podešavanje — složeno
Setup — Complex
(h/seriji | h/batch)</t>
        </is>
      </c>
      <c r="N6" s="53" t="inlineStr">
        <is>
          <t>Izrada — standard
Run — Standard
(h/jed | h/unit)</t>
        </is>
      </c>
      <c r="O6" s="52" t="inlineStr">
        <is>
          <t>Izrada — složeno
Run — Complex
(h/jed | h/unit)</t>
        </is>
      </c>
      <c r="P6" s="52" t="inlineStr">
        <is>
          <t>Napomena | Notes</t>
        </is>
      </c>
    </row>
    <row r="7" ht="19.5" customHeight="1" s="44">
      <c r="A7" s="54" t="inlineStr">
        <is>
          <t>INŽENJERING | ENGINEERING</t>
        </is>
      </c>
    </row>
    <row r="8" ht="21.75" customHeight="1" s="44">
      <c r="A8" s="55" t="inlineStr">
        <is>
          <t>OP-001</t>
        </is>
      </c>
      <c r="B8" s="56" t="inlineStr">
        <is>
          <t>INŽENJERING</t>
        </is>
      </c>
      <c r="C8" s="56" t="inlineStr">
        <is>
          <t>Kalkulacija i ponuda (interna)</t>
        </is>
      </c>
      <c r="D8" s="56" t="inlineStr">
        <is>
          <t>Quoting &amp; Estimating (Internal)</t>
        </is>
      </c>
      <c r="E8" s="55" t="inlineStr">
        <is>
          <t>h</t>
        </is>
      </c>
      <c r="F8" s="57" t="n">
        <v>1989</v>
      </c>
      <c r="G8" s="57" t="n"/>
      <c r="H8" s="58">
        <f>IF(AND(F8="",G8=""),"",IFERROR(IF(F8="",0,F8)+IF(G8="",0,G8),""))</f>
        <v/>
      </c>
      <c r="I8" s="59" t="n">
        <v>0.3</v>
      </c>
      <c r="J8" s="60">
        <f>IF(H8="","",IFERROR(H8*(1+IF(I8="",0,I8)),""))</f>
        <v/>
      </c>
      <c r="K8" s="61">
        <f>IF(J8="","",IFERROR(J8/$D$3,""))</f>
        <v/>
      </c>
      <c r="L8" s="62" t="n">
        <v>0</v>
      </c>
      <c r="M8" s="63" t="n">
        <v>0</v>
      </c>
      <c r="N8" s="63" t="n">
        <v>1</v>
      </c>
      <c r="O8" s="62" t="n">
        <v>3</v>
      </c>
      <c r="P8" s="64" t="inlineStr">
        <is>
          <t>PLACEHOLDER — Per quote (internal estimating only)</t>
        </is>
      </c>
    </row>
    <row r="9" ht="21.75" customHeight="1" s="44">
      <c r="A9" s="65" t="inlineStr">
        <is>
          <t>OP-002</t>
        </is>
      </c>
      <c r="B9" s="66" t="inlineStr">
        <is>
          <t>INŽENJERING</t>
        </is>
      </c>
      <c r="C9" s="66" t="inlineStr">
        <is>
          <t>CAD projektovanje</t>
        </is>
      </c>
      <c r="D9" s="66" t="inlineStr">
        <is>
          <t>CAD Design</t>
        </is>
      </c>
      <c r="E9" s="65" t="inlineStr">
        <is>
          <t>h</t>
        </is>
      </c>
      <c r="F9" s="57" t="n">
        <v>1989</v>
      </c>
      <c r="G9" s="67" t="n"/>
      <c r="H9" s="58">
        <f>IF(AND(F9="",G9=""),"",IFERROR(IF(F9="",0,F9)+IF(G9="",0,G9),""))</f>
        <v/>
      </c>
      <c r="I9" s="59" t="n">
        <v>0.3</v>
      </c>
      <c r="J9" s="60">
        <f>IF(H9="","",IFERROR(H9*(1+IF(I9="",0,I9)),""))</f>
        <v/>
      </c>
      <c r="K9" s="61">
        <f>IF(J9="","",IFERROR(J9/$D$3,""))</f>
        <v/>
      </c>
      <c r="L9" s="62" t="n">
        <v>0</v>
      </c>
      <c r="M9" s="63" t="n">
        <v>0</v>
      </c>
      <c r="N9" s="63" t="n">
        <v>1.5</v>
      </c>
      <c r="O9" s="62" t="n">
        <v>4</v>
      </c>
      <c r="P9" s="68" t="inlineStr">
        <is>
          <t>PLACEHOLDER — Per part</t>
        </is>
      </c>
    </row>
    <row r="10" ht="21.75" customHeight="1" s="44">
      <c r="A10" s="55" t="inlineStr">
        <is>
          <t>OP-003</t>
        </is>
      </c>
      <c r="B10" s="56" t="inlineStr">
        <is>
          <t>INŽENJERING</t>
        </is>
      </c>
      <c r="C10" s="56" t="inlineStr">
        <is>
          <t>Priprema DXF-a</t>
        </is>
      </c>
      <c r="D10" s="56" t="inlineStr">
        <is>
          <t>DXF Preparation</t>
        </is>
      </c>
      <c r="E10" s="55" t="inlineStr">
        <is>
          <t>h</t>
        </is>
      </c>
      <c r="F10" s="57" t="n">
        <v>1989</v>
      </c>
      <c r="G10" s="57" t="n"/>
      <c r="H10" s="58">
        <f>IF(AND(F10="",G10=""),"",IFERROR(IF(F10="",0,F10)+IF(G10="",0,G10),""))</f>
        <v/>
      </c>
      <c r="I10" s="59" t="n">
        <v>0.3</v>
      </c>
      <c r="J10" s="60">
        <f>IF(H10="","",IFERROR(H10*(1+IF(I10="",0,I10)),""))</f>
        <v/>
      </c>
      <c r="K10" s="61">
        <f>IF(J10="","",IFERROR(J10/$D$3,""))</f>
        <v/>
      </c>
      <c r="L10" s="62" t="n">
        <v>0</v>
      </c>
      <c r="M10" s="63" t="n">
        <v>0</v>
      </c>
      <c r="N10" s="63" t="n">
        <v>0.25</v>
      </c>
      <c r="O10" s="62" t="n">
        <v>0.5</v>
      </c>
      <c r="P10" s="64" t="inlineStr">
        <is>
          <t>PLACEHOLDER — Per part</t>
        </is>
      </c>
    </row>
    <row r="11" ht="21.75" customHeight="1" s="44">
      <c r="A11" s="65" t="inlineStr">
        <is>
          <t>OP-004</t>
        </is>
      </c>
      <c r="B11" s="66" t="inlineStr">
        <is>
          <t>INŽENJERING</t>
        </is>
      </c>
      <c r="C11" s="66" t="inlineStr">
        <is>
          <t>Priprema tehničke dokumentacije</t>
        </is>
      </c>
      <c r="D11" s="66" t="inlineStr">
        <is>
          <t>Technical Drawings Preparation</t>
        </is>
      </c>
      <c r="E11" s="65" t="inlineStr">
        <is>
          <t>h</t>
        </is>
      </c>
      <c r="F11" s="57" t="n">
        <v>1989</v>
      </c>
      <c r="G11" s="67" t="n"/>
      <c r="H11" s="58">
        <f>IF(AND(F11="",G11=""),"",IFERROR(IF(F11="",0,F11)+IF(G11="",0,G11),""))</f>
        <v/>
      </c>
      <c r="I11" s="59" t="n">
        <v>0.3</v>
      </c>
      <c r="J11" s="60">
        <f>IF(H11="","",IFERROR(H11*(1+IF(I11="",0,I11)),""))</f>
        <v/>
      </c>
      <c r="K11" s="61">
        <f>IF(J11="","",IFERROR(J11/$D$3,""))</f>
        <v/>
      </c>
      <c r="L11" s="62" t="n">
        <v>0</v>
      </c>
      <c r="M11" s="63" t="n">
        <v>0</v>
      </c>
      <c r="N11" s="63" t="n">
        <v>1</v>
      </c>
      <c r="O11" s="62" t="n">
        <v>2.5</v>
      </c>
      <c r="P11" s="68" t="inlineStr">
        <is>
          <t>PLACEHOLDER — Per part</t>
        </is>
      </c>
    </row>
    <row r="12" ht="21.75" customHeight="1" s="44">
      <c r="A12" s="55" t="inlineStr">
        <is>
          <t>OP-005</t>
        </is>
      </c>
      <c r="B12" s="56" t="inlineStr">
        <is>
          <t>INŽENJERING</t>
        </is>
      </c>
      <c r="C12" s="56" t="inlineStr">
        <is>
          <t>Programiranje lasera</t>
        </is>
      </c>
      <c r="D12" s="56" t="inlineStr">
        <is>
          <t>Laser Programming</t>
        </is>
      </c>
      <c r="E12" s="55" t="inlineStr">
        <is>
          <t>h</t>
        </is>
      </c>
      <c r="F12" s="57" t="n">
        <v>1989</v>
      </c>
      <c r="G12" s="57" t="n"/>
      <c r="H12" s="58">
        <f>IF(AND(F12="",G12=""),"",IFERROR(IF(F12="",0,F12)+IF(G12="",0,G12),""))</f>
        <v/>
      </c>
      <c r="I12" s="59" t="n">
        <v>0.3</v>
      </c>
      <c r="J12" s="60">
        <f>IF(H12="","",IFERROR(H12*(1+IF(I12="",0,I12)),""))</f>
        <v/>
      </c>
      <c r="K12" s="61">
        <f>IF(J12="","",IFERROR(J12/$D$3,""))</f>
        <v/>
      </c>
      <c r="L12" s="62" t="n">
        <v>0.2</v>
      </c>
      <c r="M12" s="63" t="n">
        <v>0.5</v>
      </c>
      <c r="N12" s="63" t="n">
        <v>0.3</v>
      </c>
      <c r="O12" s="62" t="n">
        <v>0.75</v>
      </c>
      <c r="P12" s="64" t="inlineStr">
        <is>
          <t>PLACEHOLDER — Setup = nesting prep per batch; run = per part programmed</t>
        </is>
      </c>
    </row>
    <row r="13" ht="21.75" customHeight="1" s="44">
      <c r="A13" s="65" t="inlineStr">
        <is>
          <t>OP-006</t>
        </is>
      </c>
      <c r="B13" s="66" t="inlineStr">
        <is>
          <t>INŽENJERING</t>
        </is>
      </c>
      <c r="C13" s="66" t="inlineStr">
        <is>
          <t>Upravljanje projektom</t>
        </is>
      </c>
      <c r="D13" s="66" t="inlineStr">
        <is>
          <t>Project Management</t>
        </is>
      </c>
      <c r="E13" s="65" t="inlineStr">
        <is>
          <t>h</t>
        </is>
      </c>
      <c r="F13" s="57" t="n">
        <v>1989</v>
      </c>
      <c r="G13" s="67" t="n"/>
      <c r="H13" s="58">
        <f>IF(AND(F13="",G13=""),"",IFERROR(IF(F13="",0,F13)+IF(G13="",0,G13),""))</f>
        <v/>
      </c>
      <c r="I13" s="59" t="n">
        <v>0.3</v>
      </c>
      <c r="J13" s="60">
        <f>IF(H13="","",IFERROR(H13*(1+IF(I13="",0,I13)),""))</f>
        <v/>
      </c>
      <c r="K13" s="61">
        <f>IF(J13="","",IFERROR(J13/$D$3,""))</f>
        <v/>
      </c>
      <c r="L13" s="62" t="n">
        <v>0</v>
      </c>
      <c r="M13" s="63" t="n">
        <v>0</v>
      </c>
      <c r="N13" s="63" t="n">
        <v>0</v>
      </c>
      <c r="O13" s="62" t="n">
        <v>0</v>
      </c>
      <c r="P13" s="68" t="inlineStr">
        <is>
          <t>PLACEHOLDER — NOT a per-unit norm — typically % overhead on job hours (~8-10%), not h/unit. Do not fill L-O with a flat value.</t>
        </is>
      </c>
    </row>
    <row r="14" ht="19.5" customHeight="1" s="44">
      <c r="A14" s="54" t="inlineStr">
        <is>
          <t>PRIPREMA MATERIJALA | MATERIAL PREPARATION</t>
        </is>
      </c>
    </row>
    <row r="15" ht="25.5" customHeight="1" s="44">
      <c r="A15" s="55" t="inlineStr">
        <is>
          <t>OP-007</t>
        </is>
      </c>
      <c r="B15" s="56" t="inlineStr">
        <is>
          <t>PRIPREMA</t>
        </is>
      </c>
      <c r="C15" s="56" t="inlineStr">
        <is>
          <t>Prijem i kontrola materijala</t>
        </is>
      </c>
      <c r="D15" s="56" t="inlineStr">
        <is>
          <t>Material Receiving &amp; Incoming Inspection</t>
        </is>
      </c>
      <c r="E15" s="55" t="inlineStr">
        <is>
          <t>h</t>
        </is>
      </c>
      <c r="F15" s="57" t="n">
        <v>1989</v>
      </c>
      <c r="G15" s="57" t="n"/>
      <c r="H15" s="58">
        <f>IF(AND(F15="",G15=""),"",IFERROR(IF(F15="",0,F15)+IF(G15="",0,G15),""))</f>
        <v/>
      </c>
      <c r="I15" s="59" t="n">
        <v>0.3</v>
      </c>
      <c r="J15" s="60">
        <f>IF(H15="","",IFERROR(H15*(1+IF(I15="",0,I15)),""))</f>
        <v/>
      </c>
      <c r="K15" s="61">
        <f>IF(J15="","",IFERROR(J15/$D$3,""))</f>
        <v/>
      </c>
      <c r="L15" s="62" t="n">
        <v>0</v>
      </c>
      <c r="M15" s="63" t="n">
        <v>0</v>
      </c>
      <c r="N15" s="63" t="n">
        <v>0.15</v>
      </c>
      <c r="O15" s="62" t="n">
        <v>0.3</v>
      </c>
      <c r="P15" s="64" t="inlineStr">
        <is>
          <t>PLACEHOLDER — Per delivery, not per part</t>
        </is>
      </c>
    </row>
    <row r="16" ht="21.75" customHeight="1" s="44">
      <c r="A16" s="65" t="inlineStr">
        <is>
          <t>OP-008</t>
        </is>
      </c>
      <c r="B16" s="66" t="inlineStr">
        <is>
          <t>PRIPREMA</t>
        </is>
      </c>
      <c r="C16" s="66" t="inlineStr">
        <is>
          <t>Trasiranje i markiranje</t>
        </is>
      </c>
      <c r="D16" s="66" t="inlineStr">
        <is>
          <t>Marking / Layout</t>
        </is>
      </c>
      <c r="E16" s="65" t="inlineStr">
        <is>
          <t>h</t>
        </is>
      </c>
      <c r="F16" s="57" t="n">
        <v>1989</v>
      </c>
      <c r="G16" s="67" t="n"/>
      <c r="H16" s="58">
        <f>IF(AND(F16="",G16=""),"",IFERROR(IF(F16="",0,F16)+IF(G16="",0,G16),""))</f>
        <v/>
      </c>
      <c r="I16" s="69" t="n">
        <v>0.3</v>
      </c>
      <c r="J16" s="60">
        <f>IF(H16="","",IFERROR(H16*(1+IF(I16="",0,I16)),""))</f>
        <v/>
      </c>
      <c r="K16" s="61">
        <f>IF(J16="","",IFERROR(J16/$D$3,""))</f>
        <v/>
      </c>
      <c r="L16" s="62" t="n">
        <v>0</v>
      </c>
      <c r="M16" s="63" t="n">
        <v>0</v>
      </c>
      <c r="N16" s="63" t="n">
        <v>0.1</v>
      </c>
      <c r="O16" s="62" t="n">
        <v>0.25</v>
      </c>
      <c r="P16" s="68" t="inlineStr">
        <is>
          <t>PLACEHOLDER — Per piece</t>
        </is>
      </c>
    </row>
    <row r="17" ht="19.5" customHeight="1" s="44">
      <c r="A17" s="54" t="inlineStr">
        <is>
          <t>OBRADA | FABRICATION</t>
        </is>
      </c>
    </row>
    <row r="18" ht="74.25" customHeight="1" s="44">
      <c r="A18" s="65" t="inlineStr">
        <is>
          <t>OP-009</t>
        </is>
      </c>
      <c r="B18" s="66" t="inlineStr">
        <is>
          <t>OBRADA</t>
        </is>
      </c>
      <c r="C18" s="66" t="inlineStr">
        <is>
          <t>Lasersko sečenje</t>
        </is>
      </c>
      <c r="D18" s="66" t="inlineStr">
        <is>
          <t>Laser Cutting</t>
        </is>
      </c>
      <c r="E18" s="55" t="inlineStr">
        <is>
          <t>h</t>
        </is>
      </c>
      <c r="F18" s="57" t="n">
        <v>1989</v>
      </c>
      <c r="G18" s="57" t="n">
        <v>16731</v>
      </c>
      <c r="H18" s="58">
        <f>IF(AND(F18="",G18=""),"",IFERROR(IF(F18="",0,F18)+IF(G18="",0,G18),""))</f>
        <v/>
      </c>
      <c r="I18" s="59" t="n">
        <v>0.3</v>
      </c>
      <c r="J18" s="60">
        <f>IF(H18="","",IFERROR(H18*(1+IF(I18="",0,I18)),""))</f>
        <v/>
      </c>
      <c r="K18" s="61">
        <f>IF(J18="","",IFERROR(J18/$D$3,""))</f>
        <v/>
      </c>
      <c r="L18" s="62" t="n">
        <v>0.3</v>
      </c>
      <c r="M18" s="63" t="n">
        <v>0.75</v>
      </c>
      <c r="N18" s="63" t="n">
        <v>0.05</v>
      </c>
      <c r="O18" s="62" t="n">
        <v>0.1</v>
      </c>
      <c r="P18" s="64" t="inlineStr">
        <is>
          <t>PLACEHOLDER — FORMULA-DRIVEN CANDIDATE — run = h/pierce placeholder. Prefer pulling real cut time from laser nesting/CAM software job history instead of this flat value. Setup = sheet load/unload + nest check per batch.</t>
        </is>
      </c>
    </row>
    <row r="19" ht="21.75" customHeight="1" s="44">
      <c r="A19" s="65" t="inlineStr">
        <is>
          <t>OP-010</t>
        </is>
      </c>
      <c r="B19" s="66" t="inlineStr">
        <is>
          <t>OBRADA</t>
        </is>
      </c>
      <c r="C19" s="66" t="inlineStr">
        <is>
          <t>Sečenje na dužinu</t>
        </is>
      </c>
      <c r="D19" s="66" t="inlineStr">
        <is>
          <t>Cutting to Length</t>
        </is>
      </c>
      <c r="E19" s="65" t="inlineStr">
        <is>
          <t>h</t>
        </is>
      </c>
      <c r="F19" s="57" t="n">
        <v>1989</v>
      </c>
      <c r="G19" s="67" t="n">
        <v>2925</v>
      </c>
      <c r="H19" s="58">
        <f>IF(AND(F19="",G19=""),"",IFERROR(IF(F19="",0,F19)+IF(G19="",0,G19),""))</f>
        <v/>
      </c>
      <c r="I19" s="59" t="n">
        <v>0.3</v>
      </c>
      <c r="J19" s="60">
        <f>IF(H19="","",IFERROR(H19*(1+IF(I19="",0,I19)),""))</f>
        <v/>
      </c>
      <c r="K19" s="61">
        <f>IF(J19="","",IFERROR(J19/$D$3,""))</f>
        <v/>
      </c>
      <c r="L19" s="62" t="n">
        <v>0.1</v>
      </c>
      <c r="M19" s="63" t="n">
        <v>0.25</v>
      </c>
      <c r="N19" s="63" t="n">
        <v>0.05</v>
      </c>
      <c r="O19" s="62" t="n">
        <v>0.1</v>
      </c>
      <c r="P19" s="68" t="inlineStr">
        <is>
          <t>PLACEHOLDER — Per cut</t>
        </is>
      </c>
    </row>
    <row r="20" ht="21.75" customHeight="1" s="44">
      <c r="A20" s="55" t="inlineStr">
        <is>
          <t>OP-011</t>
        </is>
      </c>
      <c r="B20" s="56" t="inlineStr">
        <is>
          <t>OBRADA</t>
        </is>
      </c>
      <c r="C20" s="56" t="inlineStr">
        <is>
          <t>Bušenje i narezivanje</t>
        </is>
      </c>
      <c r="D20" s="56" t="inlineStr">
        <is>
          <t>Drilling &amp; Tapping</t>
        </is>
      </c>
      <c r="E20" s="55" t="inlineStr">
        <is>
          <t>h</t>
        </is>
      </c>
      <c r="F20" s="57" t="n">
        <v>1989</v>
      </c>
      <c r="G20" s="67" t="n">
        <v>2925</v>
      </c>
      <c r="H20" s="58">
        <f>IF(AND(F20="",G20=""),"",IFERROR(IF(F20="",0,F20)+IF(G20="",0,G20),""))</f>
        <v/>
      </c>
      <c r="I20" s="59" t="n">
        <v>0.3</v>
      </c>
      <c r="J20" s="60">
        <f>IF(H20="","",IFERROR(H20*(1+IF(I20="",0,I20)),""))</f>
        <v/>
      </c>
      <c r="K20" s="61">
        <f>IF(J20="","",IFERROR(J20/$D$3,""))</f>
        <v/>
      </c>
      <c r="L20" s="62" t="n">
        <v>0.1</v>
      </c>
      <c r="M20" s="63" t="n">
        <v>0.2</v>
      </c>
      <c r="N20" s="63" t="n">
        <v>0.01</v>
      </c>
      <c r="O20" s="62" t="n">
        <v>0.02</v>
      </c>
      <c r="P20" s="64" t="inlineStr">
        <is>
          <t>PLACEHOLDER — Run = per hole (~36 sec drill; tapped ~2x)</t>
        </is>
      </c>
    </row>
    <row r="21" ht="21.75" customHeight="1" s="44">
      <c r="A21" s="65" t="inlineStr">
        <is>
          <t>OP-012</t>
        </is>
      </c>
      <c r="B21" s="66" t="inlineStr">
        <is>
          <t>OBRADA</t>
        </is>
      </c>
      <c r="C21" s="66" t="inlineStr">
        <is>
          <t>Savijanje na presi</t>
        </is>
      </c>
      <c r="D21" s="66" t="inlineStr">
        <is>
          <t>Press Bending</t>
        </is>
      </c>
      <c r="E21" s="65" t="inlineStr">
        <is>
          <t>h</t>
        </is>
      </c>
      <c r="F21" s="57" t="n">
        <v>1989</v>
      </c>
      <c r="G21" s="67" t="n">
        <v>7020</v>
      </c>
      <c r="H21" s="58">
        <f>IF(AND(F21="",G21=""),"",IFERROR(IF(F21="",0,F21)+IF(G21="",0,G21),""))</f>
        <v/>
      </c>
      <c r="I21" s="59" t="n">
        <v>0.3</v>
      </c>
      <c r="J21" s="60">
        <f>IF(H21="","",IFERROR(H21*(1+IF(I21="",0,I21)),""))</f>
        <v/>
      </c>
      <c r="K21" s="61">
        <f>IF(J21="","",IFERROR(J21/$D$3,""))</f>
        <v/>
      </c>
      <c r="L21" s="70" t="n">
        <v>0.2</v>
      </c>
      <c r="M21" s="71" t="n">
        <v>0.5</v>
      </c>
      <c r="N21" s="71" t="n">
        <v>0.0083</v>
      </c>
      <c r="O21" s="70" t="n">
        <v>0.02</v>
      </c>
      <c r="P21" s="72" t="inlineStr">
        <is>
          <t>30 sec po udarcu (run-standard, existing value kept)</t>
        </is>
      </c>
    </row>
    <row r="22" ht="21.75" customHeight="1" s="44">
      <c r="A22" s="55" t="inlineStr">
        <is>
          <t>OP-013</t>
        </is>
      </c>
      <c r="B22" s="56" t="inlineStr">
        <is>
          <t>OBRADA</t>
        </is>
      </c>
      <c r="C22" s="56" t="inlineStr">
        <is>
          <t>Brušenje i priprema površina</t>
        </is>
      </c>
      <c r="D22" s="56" t="inlineStr">
        <is>
          <t>Grinding &amp; Surface Preparation</t>
        </is>
      </c>
      <c r="E22" s="55" t="inlineStr">
        <is>
          <t>h</t>
        </is>
      </c>
      <c r="F22" s="57" t="n">
        <v>1989</v>
      </c>
      <c r="G22" s="67" t="n">
        <v>2925</v>
      </c>
      <c r="H22" s="58">
        <f>IF(AND(F22="",G22=""),"",IFERROR(IF(F22="",0,F22)+IF(G22="",0,G22),""))</f>
        <v/>
      </c>
      <c r="I22" s="59" t="n">
        <v>0.3</v>
      </c>
      <c r="J22" s="60">
        <f>IF(H22="","",IFERROR(H22*(1+IF(I22="",0,I22)),""))</f>
        <v/>
      </c>
      <c r="K22" s="61">
        <f>IF(J22="","",IFERROR(J22/$D$3,""))</f>
        <v/>
      </c>
      <c r="L22" s="62" t="n">
        <v>0</v>
      </c>
      <c r="M22" s="63" t="n">
        <v>0</v>
      </c>
      <c r="N22" s="63" t="n">
        <v>0.1</v>
      </c>
      <c r="O22" s="62" t="n">
        <v>0.25</v>
      </c>
      <c r="P22" s="64" t="inlineStr">
        <is>
          <t>PLACEHOLDER — Per piece</t>
        </is>
      </c>
    </row>
    <row r="23" ht="21.75" customHeight="1" s="44">
      <c r="A23" s="65" t="inlineStr">
        <is>
          <t>OP-014</t>
        </is>
      </c>
      <c r="B23" s="66" t="inlineStr">
        <is>
          <t>OBRADA</t>
        </is>
      </c>
      <c r="C23" s="66" t="inlineStr">
        <is>
          <t>Skidanje pucni i čišćenje</t>
        </is>
      </c>
      <c r="D23" s="66" t="inlineStr">
        <is>
          <t>Deburring &amp; Cleaning</t>
        </is>
      </c>
      <c r="E23" s="65" t="inlineStr">
        <is>
          <t>h</t>
        </is>
      </c>
      <c r="F23" s="57" t="n">
        <v>1989</v>
      </c>
      <c r="G23" s="67" t="n">
        <v>2574</v>
      </c>
      <c r="H23" s="58">
        <f>IF(AND(F23="",G23=""),"",IFERROR(IF(F23="",0,F23)+IF(G23="",0,G23),""))</f>
        <v/>
      </c>
      <c r="I23" s="59" t="n">
        <v>0.3</v>
      </c>
      <c r="J23" s="60">
        <f>IF(H23="","",IFERROR(H23*(1+IF(I23="",0,I23)),""))</f>
        <v/>
      </c>
      <c r="K23" s="61">
        <f>IF(J23="","",IFERROR(J23/$D$3,""))</f>
        <v/>
      </c>
      <c r="L23" s="62" t="n">
        <v>0</v>
      </c>
      <c r="M23" s="63" t="n">
        <v>0</v>
      </c>
      <c r="N23" s="63" t="n">
        <v>0.05</v>
      </c>
      <c r="O23" s="62" t="n">
        <v>0.15</v>
      </c>
      <c r="P23" s="68" t="inlineStr">
        <is>
          <t>PLACEHOLDER — Per piece</t>
        </is>
      </c>
    </row>
    <row r="24" ht="19.5" customHeight="1" s="44">
      <c r="A24" s="54" t="inlineStr">
        <is>
          <t>ZAVARIVANJE | WELDING</t>
        </is>
      </c>
    </row>
    <row r="25" ht="21.75" customHeight="1" s="44">
      <c r="A25" s="55" t="inlineStr">
        <is>
          <t>OP-015</t>
        </is>
      </c>
      <c r="B25" s="56" t="inlineStr">
        <is>
          <t>ZAVARIVANJE</t>
        </is>
      </c>
      <c r="C25" s="56" t="inlineStr">
        <is>
          <t>Peckanje i prihvatno zavar.</t>
        </is>
      </c>
      <c r="D25" s="56" t="inlineStr">
        <is>
          <t>Fit-up &amp; Tack Welding</t>
        </is>
      </c>
      <c r="E25" s="55" t="inlineStr">
        <is>
          <t>h</t>
        </is>
      </c>
      <c r="F25" s="57" t="n">
        <v>1989</v>
      </c>
      <c r="G25" s="57" t="n">
        <v>3510</v>
      </c>
      <c r="H25" s="58">
        <f>IF(AND(F25="",G25=""),"",IFERROR(IF(F25="",0,F25)+IF(G25="",0,G25),""))</f>
        <v/>
      </c>
      <c r="I25" s="59" t="n">
        <v>0.3</v>
      </c>
      <c r="J25" s="60">
        <f>IF(H25="","",IFERROR(H25*(1+IF(I25="",0,I25)),""))</f>
        <v/>
      </c>
      <c r="K25" s="61">
        <f>IF(J25="","",IFERROR(J25/$D$3,""))</f>
        <v/>
      </c>
      <c r="L25" s="62" t="n">
        <v>0.1</v>
      </c>
      <c r="M25" s="63" t="n">
        <v>0.2</v>
      </c>
      <c r="N25" s="63" t="n">
        <v>0.1</v>
      </c>
      <c r="O25" s="62" t="n">
        <v>0.25</v>
      </c>
      <c r="P25" s="64" t="inlineStr">
        <is>
          <t>PLACEHOLDER — Run = per joint</t>
        </is>
      </c>
    </row>
    <row r="26" ht="21.75" customHeight="1" s="44">
      <c r="A26" s="65" t="inlineStr">
        <is>
          <t>OP-016</t>
        </is>
      </c>
      <c r="B26" s="66" t="inlineStr">
        <is>
          <t>ZAVARIVANJE</t>
        </is>
      </c>
      <c r="C26" s="66" t="inlineStr">
        <is>
          <t>Zavarivanje</t>
        </is>
      </c>
      <c r="D26" s="66" t="inlineStr">
        <is>
          <t>Welding (Full)</t>
        </is>
      </c>
      <c r="E26" s="65" t="inlineStr">
        <is>
          <t>h</t>
        </is>
      </c>
      <c r="F26" s="57" t="n">
        <v>1989</v>
      </c>
      <c r="G26" s="67" t="n">
        <v>5265</v>
      </c>
      <c r="H26" s="58">
        <f>IF(AND(F26="",G26=""),"",IFERROR(IF(F26="",0,F26)+IF(G26="",0,G26),""))</f>
        <v/>
      </c>
      <c r="I26" s="59" t="n">
        <v>0.3</v>
      </c>
      <c r="J26" s="60">
        <f>IF(H26="","",IFERROR(H26*(1+IF(I26="",0,I26)),""))</f>
        <v/>
      </c>
      <c r="K26" s="61">
        <f>IF(J26="","",IFERROR(J26/$D$3,""))</f>
        <v/>
      </c>
      <c r="L26" s="62" t="n">
        <v>0.2</v>
      </c>
      <c r="M26" s="63" t="n">
        <v>0.5</v>
      </c>
      <c r="N26" s="63" t="n">
        <v>0.03</v>
      </c>
      <c r="O26" s="62" t="n">
        <v>0.08</v>
      </c>
      <c r="P26" s="68" t="inlineStr">
        <is>
          <t>PLACEHOLDER — FORMULA-DRIVEN CANDIDATE — run = h/cm weld length placeholder. Prefer deriving from BOM weld-length lines (EN 15085-3) once shop deposition rate (h/mm) is known from real job data. Setup = fixture/fit-up prep per batch.</t>
        </is>
      </c>
    </row>
    <row r="27" ht="19.5" customHeight="1" s="44">
      <c r="A27" s="54" t="inlineStr">
        <is>
          <t>ZAVRŠNA OBRADA | FINISHING</t>
        </is>
      </c>
    </row>
    <row r="28" ht="21.75" customHeight="1" s="44">
      <c r="A28" s="55" t="inlineStr">
        <is>
          <t>OP-017</t>
        </is>
      </c>
      <c r="B28" s="56" t="inlineStr">
        <is>
          <t>ZAVRŠNA OBRADA</t>
        </is>
      </c>
      <c r="C28" s="56" t="inlineStr">
        <is>
          <t>Farbanje / Plastifikacija</t>
        </is>
      </c>
      <c r="D28" s="56" t="inlineStr">
        <is>
          <t>Painting / Powder Coating</t>
        </is>
      </c>
      <c r="E28" s="55" t="inlineStr">
        <is>
          <t>h</t>
        </is>
      </c>
      <c r="F28" s="57" t="n">
        <v>1989</v>
      </c>
      <c r="G28" s="57" t="n">
        <v>3510</v>
      </c>
      <c r="H28" s="58">
        <f>IF(AND(F28="",G28=""),"",IFERROR(IF(F28="",0,F28)+IF(G28="",0,G28),""))</f>
        <v/>
      </c>
      <c r="I28" s="59" t="n">
        <v>0.3</v>
      </c>
      <c r="J28" s="60">
        <f>IF(H28="","",IFERROR(H28*(1+IF(I28="",0,I28)),""))</f>
        <v/>
      </c>
      <c r="K28" s="61">
        <f>IF(J28="","",IFERROR(J28/$D$3,""))</f>
        <v/>
      </c>
      <c r="L28" s="62" t="n">
        <v>0.3</v>
      </c>
      <c r="M28" s="63" t="n">
        <v>0.6</v>
      </c>
      <c r="N28" s="63" t="n">
        <v>0.2</v>
      </c>
      <c r="O28" s="62" t="n">
        <v>0.4</v>
      </c>
      <c r="P28" s="64" t="inlineStr">
        <is>
          <t>PLACEHOLDER — Per piece, size-dependent</t>
        </is>
      </c>
    </row>
    <row r="29" ht="21.75" customHeight="1" s="44">
      <c r="A29" s="65" t="inlineStr">
        <is>
          <t>OP-018</t>
        </is>
      </c>
      <c r="B29" s="66" t="inlineStr">
        <is>
          <t>ZAVRŠNA OBRADA</t>
        </is>
      </c>
      <c r="C29" s="66" t="inlineStr">
        <is>
          <t>Izolacija</t>
        </is>
      </c>
      <c r="D29" s="66" t="inlineStr">
        <is>
          <t>Insulating</t>
        </is>
      </c>
      <c r="E29" s="65" t="inlineStr">
        <is>
          <t>h</t>
        </is>
      </c>
      <c r="F29" s="57" t="n">
        <v>1989</v>
      </c>
      <c r="G29" s="67" t="n">
        <v>3042</v>
      </c>
      <c r="H29" s="58">
        <f>IF(AND(F29="",G29=""),"",IFERROR(IF(F29="",0,F29)+IF(G29="",0,G29),""))</f>
        <v/>
      </c>
      <c r="I29" s="59" t="n">
        <v>0.3</v>
      </c>
      <c r="J29" s="60">
        <f>IF(H29="","",IFERROR(H29*(1+IF(I29="",0,I29)),""))</f>
        <v/>
      </c>
      <c r="K29" s="61">
        <f>IF(J29="","",IFERROR(J29/$D$3,""))</f>
        <v/>
      </c>
      <c r="L29" s="62" t="n">
        <v>0</v>
      </c>
      <c r="M29" s="63" t="n">
        <v>0</v>
      </c>
      <c r="N29" s="63" t="n">
        <v>0.3</v>
      </c>
      <c r="O29" s="62" t="n">
        <v>0.6</v>
      </c>
      <c r="P29" s="68" t="inlineStr">
        <is>
          <t>PLACEHOLDER — Per piece</t>
        </is>
      </c>
    </row>
    <row r="30" ht="19.5" customHeight="1" s="44">
      <c r="A30" s="54" t="inlineStr">
        <is>
          <t>MONTAŽA | ASSEMBLY</t>
        </is>
      </c>
    </row>
    <row r="31" ht="21.75" customHeight="1" s="44">
      <c r="A31" s="55" t="inlineStr">
        <is>
          <t>OP-019</t>
        </is>
      </c>
      <c r="B31" s="56" t="inlineStr">
        <is>
          <t>MONTAŽA</t>
        </is>
      </c>
      <c r="C31" s="56" t="inlineStr">
        <is>
          <t>Ugradnja spojnih elemenata</t>
        </is>
      </c>
      <c r="D31" s="56" t="inlineStr">
        <is>
          <t>Hardware Insertion</t>
        </is>
      </c>
      <c r="E31" s="55" t="inlineStr">
        <is>
          <t>h</t>
        </is>
      </c>
      <c r="F31" s="57" t="n">
        <v>1989</v>
      </c>
      <c r="G31" s="57" t="n">
        <v>3042</v>
      </c>
      <c r="H31" s="58">
        <f>IF(AND(F31="",G31=""),"",IFERROR(IF(F31="",0,F31)+IF(G31="",0,G31),""))</f>
        <v/>
      </c>
      <c r="I31" s="59" t="n">
        <v>0.3</v>
      </c>
      <c r="J31" s="60">
        <f>IF(H31="","",IFERROR(H31*(1+IF(I31="",0,I31)),""))</f>
        <v/>
      </c>
      <c r="K31" s="61">
        <f>IF(J31="","",IFERROR(J31/$D$3,""))</f>
        <v/>
      </c>
      <c r="L31" s="62" t="n">
        <v>0</v>
      </c>
      <c r="M31" s="63" t="n">
        <v>0</v>
      </c>
      <c r="N31" s="63" t="n">
        <v>0.03</v>
      </c>
      <c r="O31" s="62" t="n">
        <v>0.05</v>
      </c>
      <c r="P31" s="64" t="inlineStr">
        <is>
          <t>PLACEHOLDER — Per fastener</t>
        </is>
      </c>
    </row>
    <row r="32" ht="21.75" customHeight="1" s="44">
      <c r="A32" s="65" t="inlineStr">
        <is>
          <t>OP-020</t>
        </is>
      </c>
      <c r="B32" s="66" t="inlineStr">
        <is>
          <t>MONTAŽA</t>
        </is>
      </c>
      <c r="C32" s="66" t="inlineStr">
        <is>
          <t>Montaža</t>
        </is>
      </c>
      <c r="D32" s="66" t="inlineStr">
        <is>
          <t>Assembly</t>
        </is>
      </c>
      <c r="E32" s="65" t="inlineStr">
        <is>
          <t>h</t>
        </is>
      </c>
      <c r="F32" s="57" t="n">
        <v>1989</v>
      </c>
      <c r="G32" s="57" t="n">
        <v>3042</v>
      </c>
      <c r="H32" s="58">
        <f>IF(AND(F32="",G32=""),"",IFERROR(IF(F32="",0,F32)+IF(G32="",0,G32),""))</f>
        <v/>
      </c>
      <c r="I32" s="59" t="n">
        <v>0.3</v>
      </c>
      <c r="J32" s="60">
        <f>IF(H32="","",IFERROR(H32*(1+IF(I32="",0,I32)),""))</f>
        <v/>
      </c>
      <c r="K32" s="61">
        <f>IF(J32="","",IFERROR(J32/$D$3,""))</f>
        <v/>
      </c>
      <c r="L32" s="62" t="n">
        <v>0.2</v>
      </c>
      <c r="M32" s="63" t="n">
        <v>0.5</v>
      </c>
      <c r="N32" s="63" t="n">
        <v>0.5</v>
      </c>
      <c r="O32" s="62" t="n">
        <v>1.5</v>
      </c>
      <c r="P32" s="68" t="inlineStr">
        <is>
          <t>PLACEHOLDER — Per sub-assembly — weakest placeholder, highly job-dependent</t>
        </is>
      </c>
    </row>
    <row r="33" ht="21.75" customHeight="1" s="44">
      <c r="A33" s="55" t="inlineStr">
        <is>
          <t>OP-021</t>
        </is>
      </c>
      <c r="B33" s="56" t="inlineStr">
        <is>
          <t>MONTAŽA</t>
        </is>
      </c>
      <c r="C33" s="56" t="inlineStr">
        <is>
          <t>Zaptivanje</t>
        </is>
      </c>
      <c r="D33" s="56" t="inlineStr">
        <is>
          <t>Sealing / Caulking</t>
        </is>
      </c>
      <c r="E33" s="55" t="inlineStr">
        <is>
          <t>h</t>
        </is>
      </c>
      <c r="F33" s="57" t="n">
        <v>1989</v>
      </c>
      <c r="G33" s="57" t="n">
        <v>3042</v>
      </c>
      <c r="H33" s="58">
        <f>IF(AND(F33="",G33=""),"",IFERROR(IF(F33="",0,F33)+IF(G33="",0,G33),""))</f>
        <v/>
      </c>
      <c r="I33" s="59" t="n">
        <v>0.3</v>
      </c>
      <c r="J33" s="60">
        <f>IF(H33="","",IFERROR(H33*(1+IF(I33="",0,I33)),""))</f>
        <v/>
      </c>
      <c r="K33" s="61">
        <f>IF(J33="","",IFERROR(J33/$D$3,""))</f>
        <v/>
      </c>
      <c r="L33" s="62" t="n">
        <v>0</v>
      </c>
      <c r="M33" s="63" t="n">
        <v>0</v>
      </c>
      <c r="N33" s="63" t="n">
        <v>0.1</v>
      </c>
      <c r="O33" s="62" t="n">
        <v>0.2</v>
      </c>
      <c r="P33" s="64" t="inlineStr">
        <is>
          <t>PLACEHOLDER — Per meter</t>
        </is>
      </c>
    </row>
    <row r="34" ht="21.75" customHeight="1" s="44">
      <c r="A34" s="65" t="inlineStr">
        <is>
          <t>OP-022</t>
        </is>
      </c>
      <c r="B34" s="66" t="inlineStr">
        <is>
          <t>MONTAŽA</t>
        </is>
      </c>
      <c r="C34" s="66" t="inlineStr">
        <is>
          <t>Podešavanje i finalna montaža</t>
        </is>
      </c>
      <c r="D34" s="66" t="inlineStr">
        <is>
          <t>Final Fitting &amp; Adjustment</t>
        </is>
      </c>
      <c r="E34" s="65" t="inlineStr">
        <is>
          <t>h</t>
        </is>
      </c>
      <c r="F34" s="57" t="n">
        <v>1989</v>
      </c>
      <c r="G34" s="57" t="n">
        <v>3042</v>
      </c>
      <c r="H34" s="58">
        <f>IF(AND(F34="",G34=""),"",IFERROR(IF(F34="",0,F34)+IF(G34="",0,G34),""))</f>
        <v/>
      </c>
      <c r="I34" s="59" t="n">
        <v>0.3</v>
      </c>
      <c r="J34" s="60">
        <f>IF(H34="","",IFERROR(H34*(1+IF(I34="",0,I34)),""))</f>
        <v/>
      </c>
      <c r="K34" s="61">
        <f>IF(J34="","",IFERROR(J34/$D$3,""))</f>
        <v/>
      </c>
      <c r="L34" s="62" t="n">
        <v>0</v>
      </c>
      <c r="M34" s="63" t="n">
        <v>0</v>
      </c>
      <c r="N34" s="63" t="n">
        <v>0.3</v>
      </c>
      <c r="O34" s="62" t="n">
        <v>0.75</v>
      </c>
      <c r="P34" s="68" t="inlineStr">
        <is>
          <t>PLACEHOLDER — Per piece</t>
        </is>
      </c>
    </row>
    <row r="35" ht="19.5" customHeight="1" s="44">
      <c r="A35" s="54" t="inlineStr">
        <is>
          <t>KONTROLA KVALITETA | QUALITY CONTROL</t>
        </is>
      </c>
    </row>
    <row r="36" ht="21.75" customHeight="1" s="44">
      <c r="A36" s="55" t="inlineStr">
        <is>
          <t>OP-023</t>
        </is>
      </c>
      <c r="B36" s="56" t="inlineStr">
        <is>
          <t>KONTROLA</t>
        </is>
      </c>
      <c r="C36" s="56" t="inlineStr">
        <is>
          <t>Vizuelna kontrola</t>
        </is>
      </c>
      <c r="D36" s="56" t="inlineStr">
        <is>
          <t>Visual Quality Control</t>
        </is>
      </c>
      <c r="E36" s="55" t="inlineStr">
        <is>
          <t>h</t>
        </is>
      </c>
      <c r="F36" s="57" t="n">
        <v>1989</v>
      </c>
      <c r="G36" s="57" t="n">
        <v>4680</v>
      </c>
      <c r="H36" s="58">
        <f>IF(AND(F36="",G36=""),"",IFERROR(IF(F36="",0,F36)+IF(G36="",0,G36),""))</f>
        <v/>
      </c>
      <c r="I36" s="59" t="n">
        <v>0.3</v>
      </c>
      <c r="J36" s="60">
        <f>IF(H36="","",IFERROR(H36*(1+IF(I36="",0,I36)),""))</f>
        <v/>
      </c>
      <c r="K36" s="61">
        <f>IF(J36="","",IFERROR(J36/$D$3,""))</f>
        <v/>
      </c>
      <c r="L36" s="62" t="n">
        <v>0</v>
      </c>
      <c r="M36" s="63" t="n">
        <v>0</v>
      </c>
      <c r="N36" s="63" t="n">
        <v>0.05</v>
      </c>
      <c r="O36" s="62" t="n">
        <v>0.1</v>
      </c>
      <c r="P36" s="64" t="inlineStr">
        <is>
          <t>PLACEHOLDER — Per piece</t>
        </is>
      </c>
    </row>
    <row r="37" ht="21.75" customHeight="1" s="44">
      <c r="A37" s="65" t="inlineStr">
        <is>
          <t>OP-024</t>
        </is>
      </c>
      <c r="B37" s="66" t="inlineStr">
        <is>
          <t>KONTROLA</t>
        </is>
      </c>
      <c r="C37" s="66" t="inlineStr">
        <is>
          <t>Dimenzionalna kontrola</t>
        </is>
      </c>
      <c r="D37" s="66" t="inlineStr">
        <is>
          <t>Dimensional Inspection</t>
        </is>
      </c>
      <c r="E37" s="65" t="inlineStr">
        <is>
          <t>h</t>
        </is>
      </c>
      <c r="F37" s="57" t="n">
        <v>1989</v>
      </c>
      <c r="G37" s="57" t="n">
        <v>4680</v>
      </c>
      <c r="H37" s="58">
        <f>IF(AND(F37="",G37=""),"",IFERROR(IF(F37="",0,F37)+IF(G37="",0,G37),""))</f>
        <v/>
      </c>
      <c r="I37" s="59" t="n">
        <v>0.3</v>
      </c>
      <c r="J37" s="60">
        <f>IF(H37="","",IFERROR(H37*(1+IF(I37="",0,I37)),""))</f>
        <v/>
      </c>
      <c r="K37" s="61">
        <f>IF(J37="","",IFERROR(J37/$D$3,""))</f>
        <v/>
      </c>
      <c r="L37" s="62" t="n">
        <v>0</v>
      </c>
      <c r="M37" s="63" t="n">
        <v>0</v>
      </c>
      <c r="N37" s="63" t="n">
        <v>0.15</v>
      </c>
      <c r="O37" s="62" t="n">
        <v>0.3</v>
      </c>
      <c r="P37" s="68" t="inlineStr">
        <is>
          <t>PLACEHOLDER — Per piece, CMM/manual-dependent</t>
        </is>
      </c>
    </row>
    <row r="38" ht="19.5" customHeight="1" s="44">
      <c r="A38" s="54" t="inlineStr">
        <is>
          <t>LOGISTIKA | LOGISTICS</t>
        </is>
      </c>
    </row>
    <row r="39" ht="21.75" customHeight="1" s="44">
      <c r="A39" s="55" t="inlineStr">
        <is>
          <t>OP-025</t>
        </is>
      </c>
      <c r="B39" s="56" t="inlineStr">
        <is>
          <t>LOGISTIKA</t>
        </is>
      </c>
      <c r="C39" s="56" t="inlineStr">
        <is>
          <t>Pakovanje</t>
        </is>
      </c>
      <c r="D39" s="56" t="inlineStr">
        <is>
          <t>Packaging</t>
        </is>
      </c>
      <c r="E39" s="55" t="inlineStr">
        <is>
          <t>h</t>
        </is>
      </c>
      <c r="F39" s="57" t="n">
        <v>1989</v>
      </c>
      <c r="G39" s="57" t="n">
        <v>2574</v>
      </c>
      <c r="H39" s="58">
        <f>IF(AND(F39="",G39=""),"",IFERROR(IF(F39="",0,F39)+IF(G39="",0,G39),""))</f>
        <v/>
      </c>
      <c r="I39" s="59" t="n">
        <v>0.3</v>
      </c>
      <c r="J39" s="60">
        <f>IF(H39="","",IFERROR(H39*(1+IF(I39="",0,I39)),""))</f>
        <v/>
      </c>
      <c r="K39" s="61">
        <f>IF(J39="","",IFERROR(J39/$D$3,""))</f>
        <v/>
      </c>
      <c r="L39" s="62" t="n">
        <v>0</v>
      </c>
      <c r="M39" s="63" t="n">
        <v>0</v>
      </c>
      <c r="N39" s="63" t="n">
        <v>0.1</v>
      </c>
      <c r="O39" s="62" t="n">
        <v>0.2</v>
      </c>
      <c r="P39" s="64" t="inlineStr">
        <is>
          <t>PLACEHOLDER — Per piece</t>
        </is>
      </c>
    </row>
    <row r="40" ht="21.75" customHeight="1" s="44">
      <c r="A40" s="65" t="inlineStr">
        <is>
          <t>OP-026</t>
        </is>
      </c>
      <c r="B40" s="66" t="inlineStr">
        <is>
          <t>LOGISTIKA</t>
        </is>
      </c>
      <c r="C40" s="66" t="inlineStr">
        <is>
          <t>Priprema za isporuku</t>
        </is>
      </c>
      <c r="D40" s="66" t="inlineStr">
        <is>
          <t>Shipping / Delivery Preparation</t>
        </is>
      </c>
      <c r="E40" s="65" t="inlineStr">
        <is>
          <t>h</t>
        </is>
      </c>
      <c r="F40" s="57" t="n">
        <v>1989</v>
      </c>
      <c r="G40" s="57" t="n">
        <v>2574</v>
      </c>
      <c r="H40" s="58">
        <f>IF(AND(F40="",G40=""),"",IFERROR(IF(F40="",0,F40)+IF(G40="",0,G40),""))</f>
        <v/>
      </c>
      <c r="I40" s="59" t="n">
        <v>0.3</v>
      </c>
      <c r="J40" s="60">
        <f>IF(H40="","",IFERROR(H40*(1+IF(I40="",0,I40)),""))</f>
        <v/>
      </c>
      <c r="K40" s="61">
        <f>IF(J40="","",IFERROR(J40/$D$3,""))</f>
        <v/>
      </c>
      <c r="L40" s="62" t="n">
        <v>0</v>
      </c>
      <c r="M40" s="63" t="n">
        <v>0</v>
      </c>
      <c r="N40" s="63" t="n">
        <v>0.2</v>
      </c>
      <c r="O40" s="62" t="n">
        <v>0.4</v>
      </c>
      <c r="P40" s="68" t="inlineStr">
        <is>
          <t>PLACEHOLDER — Per order, not per piece</t>
        </is>
      </c>
    </row>
    <row r="41" ht="74.25" customHeight="1" s="44">
      <c r="A41" s="55" t="inlineStr">
        <is>
          <t>OP-027</t>
        </is>
      </c>
      <c r="B41" s="56" t="inlineStr">
        <is>
          <t>INŽENJERING</t>
        </is>
      </c>
      <c r="C41" s="56" t="inlineStr">
        <is>
          <t>Nabavka — traženje i upoređivanje ponuda</t>
        </is>
      </c>
      <c r="D41" s="56" t="inlineStr">
        <is>
          <t>Vendor Sourcing &amp; Quote Comparison</t>
        </is>
      </c>
      <c r="E41" s="55" t="inlineStr">
        <is>
          <t>RFQ</t>
        </is>
      </c>
      <c r="F41" s="57" t="n">
        <v>1989</v>
      </c>
      <c r="G41" s="57" t="n"/>
      <c r="H41" s="58">
        <f>IF(AND(F41="",G41=""),"",IFERROR(IF(F41="",0,F41)+IF(G41="",0,G41),""))</f>
        <v/>
      </c>
      <c r="I41" s="59" t="n">
        <v>0.3</v>
      </c>
      <c r="J41" s="60">
        <f>IF(H41="","",IFERROR(H41*(1+IF(I41="",0,I41)),""))</f>
        <v/>
      </c>
      <c r="K41" s="61">
        <f>IF(J41="","",IFERROR(J41/$D$3,""))</f>
        <v/>
      </c>
      <c r="L41" s="62" t="n">
        <v>0</v>
      </c>
      <c r="M41" s="63" t="n">
        <v>0</v>
      </c>
      <c r="N41" s="63" t="n">
        <v>0.5</v>
      </c>
      <c r="O41" s="62" t="n">
        <v>1.5</v>
      </c>
      <c r="P41" s="64" t="inlineStr">
        <is>
          <t>PLACEHOLDER — Unit = per RFQ sent (one vendor contacted), not per part. Labor only — does NOT include vendor reply lead-time (elapsed waiting), which belongs to future vendor/part lead-time tracking, not this cost-rate table. See OQ (new) in KB.</t>
        </is>
      </c>
    </row>
    <row r="42" ht="20" customHeight="1" s="44">
      <c r="A42" s="73" t="inlineStr">
        <is>
          <t>OP-028</t>
        </is>
      </c>
      <c r="B42" s="74" t="inlineStr">
        <is>
          <t>OBRADA</t>
        </is>
      </c>
      <c r="C42" s="75" t="inlineStr">
        <is>
          <t>Glodanje</t>
        </is>
      </c>
      <c r="D42" s="75" t="inlineStr">
        <is>
          <t>Milling</t>
        </is>
      </c>
      <c r="E42" s="76" t="inlineStr">
        <is>
          <t>h</t>
        </is>
      </c>
      <c r="F42" s="76" t="n">
        <v>1989</v>
      </c>
      <c r="G42" s="76" t="n">
        <v>5850</v>
      </c>
      <c r="H42" s="76">
        <f>IF(AND(F42="",G42=""),"",IFERROR(IF(F42="",0,F42)+IF(G42="",0,G42),""))</f>
        <v/>
      </c>
      <c r="I42" s="77" t="n">
        <v>0.3</v>
      </c>
      <c r="J42" s="76">
        <f>IF(H42="","",IFERROR(H42*(1+IF(I42="",0,I42)),""))</f>
        <v/>
      </c>
      <c r="K42" s="76">
        <f>IF(J42="","",IFERROR(J42/$D$3,""))</f>
        <v/>
      </c>
      <c r="L42" s="78" t="n">
        <v>0.25</v>
      </c>
      <c r="M42" s="78" t="n">
        <v>0.5</v>
      </c>
      <c r="N42" s="78" t="n">
        <v>0.1</v>
      </c>
      <c r="O42" s="78" t="n">
        <v>0.3</v>
      </c>
      <c r="P42" s="75" t="inlineStr">
        <is>
          <t>PLACEHOLDER — In-house CNC milling. Setup = tool change + fixture per batch; Run = h/unit. Manual REQ only.</t>
        </is>
      </c>
    </row>
    <row r="43" ht="20" customHeight="1" s="44">
      <c r="A43" s="73" t="inlineStr">
        <is>
          <t>OP-029</t>
        </is>
      </c>
      <c r="B43" s="74" t="inlineStr">
        <is>
          <t>OBRADA</t>
        </is>
      </c>
      <c r="C43" s="75" t="inlineStr">
        <is>
          <t>Struganje</t>
        </is>
      </c>
      <c r="D43" s="75" t="inlineStr">
        <is>
          <t>Turning</t>
        </is>
      </c>
      <c r="E43" s="76" t="inlineStr">
        <is>
          <t>h</t>
        </is>
      </c>
      <c r="F43" s="76" t="n">
        <v>1989</v>
      </c>
      <c r="G43" s="76" t="n">
        <v>5850</v>
      </c>
      <c r="H43" s="76">
        <f>IF(AND(F43="",G43=""),"",IFERROR(IF(F43="",0,F43)+IF(G43="",0,G43),""))</f>
        <v/>
      </c>
      <c r="I43" s="77" t="n">
        <v>0.3</v>
      </c>
      <c r="J43" s="76">
        <f>IF(H43="","",IFERROR(H43*(1+IF(I43="",0,I43)),""))</f>
        <v/>
      </c>
      <c r="K43" s="76">
        <f>IF(J43="","",IFERROR(J43/$D$3,""))</f>
        <v/>
      </c>
      <c r="L43" s="78" t="n">
        <v>0.2</v>
      </c>
      <c r="M43" s="78" t="n">
        <v>0.4</v>
      </c>
      <c r="N43" s="78" t="n">
        <v>0.08</v>
      </c>
      <c r="O43" s="78" t="n">
        <v>0.2</v>
      </c>
      <c r="P43" s="75" t="inlineStr">
        <is>
          <t>PLACEHOLDER — In-house CNC turning. Setup = chuck/tool change per batch; Run = h/unit. Manual REQ only.</t>
        </is>
      </c>
    </row>
    <row r="44" ht="15.75" customHeight="1" s="44">
      <c r="A44" s="43" t="n"/>
    </row>
    <row r="45" ht="15.75" customHeight="1" s="44">
      <c r="A45" s="79" t="inlineStr">
        <is>
          <t>LEGENDA | LEGEND</t>
        </is>
      </c>
    </row>
    <row r="46" ht="15.75" customHeight="1" s="44">
      <c r="A46" s="80" t="inlineStr">
        <is>
          <t>Plavi tekst | Blue text = polje za unos | input field — vi popunjavate | you fill in</t>
        </is>
      </c>
    </row>
    <row r="47" ht="126.75" customHeight="1" s="44">
      <c r="A47" s="81" t="inlineStr">
        <is>
          <t>Crni tekst na plavoj pozadini | Black on blue = automatski izračunato | auto-calculated</t>
        </is>
      </c>
    </row>
    <row r="48" ht="15" customHeight="1" s="44">
      <c r="A48" s="82" t="inlineStr">
        <is>
          <t>Crni tekst na zelenoj pozadini | Black on green = cena za kupca | customer rate (auto)</t>
        </is>
      </c>
    </row>
    <row r="49">
      <c r="A49" s="83" t="inlineStr">
        <is>
          <t>Žuta pozadina | Yellow background = pretpostavka za ažuriranje | assumption to update</t>
        </is>
      </c>
    </row>
    <row r="50">
      <c r="A50" s="84" t="inlineStr">
        <is>
          <t>Žuti tekst u koloni Napomena | Yellow italic text in Notes column = PLACEHOLDER norma — nije validirano na realnim podacima Stirg-a, treba ažurirati | PLACEHOLDER norm — not yet validated on real Stirg data, needs updating</t>
        </is>
      </c>
    </row>
  </sheetData>
  <mergeCells count="16">
    <mergeCell ref="A17:N17"/>
    <mergeCell ref="A27:N27"/>
    <mergeCell ref="A35:N35"/>
    <mergeCell ref="A4:D4"/>
    <mergeCell ref="A24:N24"/>
    <mergeCell ref="A2:N2"/>
    <mergeCell ref="A30:N30"/>
    <mergeCell ref="A38:N38"/>
    <mergeCell ref="A7:N7"/>
    <mergeCell ref="A3:C3"/>
    <mergeCell ref="E3:F3"/>
    <mergeCell ref="A45:N45"/>
    <mergeCell ref="A46:N46"/>
    <mergeCell ref="A14:N14"/>
    <mergeCell ref="A44:N44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17" activeCellId="0" sqref="F17"/>
    </sheetView>
  </sheetViews>
  <sheetFormatPr baseColWidth="8" defaultColWidth="8.71484375" defaultRowHeight="15" zeroHeight="0" outlineLevelRow="0"/>
  <cols>
    <col width="14" customWidth="1" style="43" min="1" max="1"/>
    <col width="80" customWidth="1" style="43" min="2" max="2"/>
  </cols>
  <sheetData>
    <row r="1" ht="36" customHeight="1" s="44">
      <c r="A1" s="45" t="inlineStr">
        <is>
          <t>UPUTSTVO ZA POPUNJAVANJE | HOW TO FILL IN THIS FILE</t>
        </is>
      </c>
    </row>
    <row r="2" ht="18" customHeight="1" s="44">
      <c r="A2" s="85" t="n"/>
      <c r="B2" s="86" t="n"/>
    </row>
    <row r="3" ht="18" customHeight="1" s="44">
      <c r="A3" s="87" t="inlineStr">
        <is>
          <t>SRB</t>
        </is>
      </c>
      <c r="B3" s="88" t="inlineStr">
        <is>
          <t>UPUTSTVO:</t>
        </is>
      </c>
    </row>
    <row r="4" ht="15" customHeight="1" s="44">
      <c r="A4" s="85" t="inlineStr">
        <is>
          <t>1.</t>
        </is>
      </c>
      <c r="B4" s="86" t="inlineStr">
        <is>
          <t>Otvorite sheet 'Operacije | Operations'.</t>
        </is>
      </c>
    </row>
    <row r="5" ht="15" customHeight="1" s="44">
      <c r="A5" s="89" t="inlineStr">
        <is>
          <t>2.</t>
        </is>
      </c>
      <c r="B5" s="90" t="inlineStr">
        <is>
          <t>Ažurirajte kurs EUR/RSD u ćeliji D3 (žuta ćelija).</t>
        </is>
      </c>
    </row>
    <row r="6" ht="15" customHeight="1" s="44">
      <c r="A6" s="85" t="inlineStr">
        <is>
          <t>3.</t>
        </is>
      </c>
      <c r="B6" s="86" t="inlineStr">
        <is>
          <t>Za svaku operaciju popunite PLAVE ćelije:</t>
        </is>
      </c>
    </row>
    <row r="7" ht="15" customHeight="1" s="44">
      <c r="A7" s="89" t="n"/>
      <c r="B7" s="90" t="inlineStr">
        <is>
          <t xml:space="preserve">   F — Cena rada (interni trošak) u RSD/h: šta košta sat rada tog radnika/mašine Stirg-u.</t>
        </is>
      </c>
    </row>
    <row r="8" ht="25.5" customHeight="1" s="44">
      <c r="A8" s="85" t="n"/>
      <c r="B8" s="86" t="inlineStr">
        <is>
          <t xml:space="preserve">   G — Trošak mašine i režija u RSD/h: amortizacija mašine + struja + opšti troškovi (može biti 0 ako su uključeni u F).</t>
        </is>
      </c>
    </row>
    <row r="9" ht="15" customHeight="1" s="44">
      <c r="A9" s="89" t="n"/>
      <c r="B9" s="90" t="inlineStr">
        <is>
          <t xml:space="preserve">   I — Marža u %: npr. 0,30 za 30%. Koliko se dodaje na interni trošak za ponudu kupcu.</t>
        </is>
      </c>
    </row>
    <row r="10" ht="25.5" customHeight="1" s="44">
      <c r="A10" s="85" t="n"/>
      <c r="B10" s="86" t="inlineStr">
        <is>
          <t xml:space="preserve">   L — Podešavanje, standard (h/seriji): jednokratno vreme po seriji/poslu (zamena alata, programiranje, podešavanje mašine).</t>
        </is>
      </c>
    </row>
    <row r="11" ht="15" customHeight="1" s="44">
      <c r="A11" s="89" t="n"/>
      <c r="B11" s="90" t="inlineStr">
        <is>
          <t xml:space="preserve">   M — Podešavanje, složeno (h/seriji): jednokratno vreme za složene/nestandardne poslove.</t>
        </is>
      </c>
    </row>
    <row r="12" ht="15" customHeight="1" s="44">
      <c r="B12" s="43" t="inlineStr">
        <is>
          <t xml:space="preserve">   N — Izrada, standard (h/jed): ponavljajuće vreme po jedinici (komad, udarac, otvor, metar...).</t>
        </is>
      </c>
    </row>
    <row r="13" ht="15" customHeight="1" s="44">
      <c r="B13" s="43" t="inlineStr">
        <is>
          <t xml:space="preserve">   O — Izrada, složeno (h/jed): ponavljajuće vreme po jedinici za složene poslove.</t>
        </is>
      </c>
    </row>
    <row r="14" ht="15" customHeight="1" s="44">
      <c r="B14" s="43" t="inlineStr">
        <is>
          <t xml:space="preserve">   P — Napomena: sve što treba napomenuti uz operaciju (žuti kurziv = nepotvrđena pretpostavka).</t>
        </is>
      </c>
    </row>
    <row r="15" ht="18" customHeight="1" s="44">
      <c r="A15" s="85" t="n"/>
      <c r="B15" s="86" t="n"/>
    </row>
    <row r="16" ht="15" customHeight="1" s="44">
      <c r="A16" s="89" t="inlineStr">
        <is>
          <t>4.</t>
        </is>
      </c>
      <c r="B16" s="90" t="inlineStr">
        <is>
          <t>Kolone H, J, K se računaju automatski — ne unosite ništa u te ćelije.</t>
        </is>
      </c>
    </row>
    <row r="17" ht="15" customHeight="1" s="44">
      <c r="A17" s="89" t="n"/>
      <c r="B17" s="90" t="n"/>
    </row>
    <row r="18" ht="15" customHeight="1" s="44">
      <c r="A18" s="87" t="inlineStr">
        <is>
          <t>ENG</t>
        </is>
      </c>
      <c r="B18" s="88" t="inlineStr">
        <is>
          <t>INSTRUCTIONS:</t>
        </is>
      </c>
    </row>
    <row r="19" ht="15" customHeight="1" s="44">
      <c r="A19" s="89" t="inlineStr">
        <is>
          <t>1.</t>
        </is>
      </c>
      <c r="B19" s="90" t="inlineStr">
        <is>
          <t>Open the 'Operacije | Operations' sheet.</t>
        </is>
      </c>
    </row>
    <row r="20" ht="25.5" customHeight="1" s="44">
      <c r="A20" s="85" t="inlineStr">
        <is>
          <t>2.</t>
        </is>
      </c>
      <c r="B20" s="86" t="inlineStr">
        <is>
          <t>Update the EUR/RSD exchange rate in cell D3 (yellow cell).</t>
        </is>
      </c>
    </row>
    <row r="21" ht="25.5" customHeight="1" s="44">
      <c r="A21" s="89" t="inlineStr">
        <is>
          <t>3.</t>
        </is>
      </c>
      <c r="B21" s="90" t="inlineStr">
        <is>
          <t>For each operation, fill in the BLUE cells:</t>
        </is>
      </c>
    </row>
    <row r="22" ht="15" customHeight="1" s="44">
      <c r="A22" s="85" t="n"/>
      <c r="B22" s="86" t="inlineStr">
        <is>
          <t xml:space="preserve">   F — Labor cost rate (RSD/unit): what one hour of this operation costs Stirg internally.</t>
        </is>
      </c>
    </row>
    <row r="23" ht="23.25" customHeight="1" s="44">
      <c r="A23" s="89" t="n"/>
      <c r="B23" s="90" t="inlineStr">
        <is>
          <t xml:space="preserve">   G — Machine + overhead rate (RSD/unit): machine depreciation + electricity + allocated overhead (can be 0 if included in F).</t>
        </is>
      </c>
    </row>
    <row r="24" ht="15" customHeight="1" s="44">
      <c r="A24" s="85" t="n"/>
      <c r="B24" s="86" t="inlineStr">
        <is>
          <t xml:space="preserve">   I — Markup as decimal: e.g. 0.30 for 30%. Added on top of internal cost for customer quote.</t>
        </is>
      </c>
    </row>
    <row r="25" ht="23.25" customHeight="1" s="44">
      <c r="A25" s="89" t="n"/>
      <c r="B25" s="90" t="inlineStr">
        <is>
          <t xml:space="preserve">   L — Setup, standard (h/batch): one-time time per batch/job (tool change, programming, machine setup).</t>
        </is>
      </c>
    </row>
    <row r="26" ht="15" customHeight="1" s="44">
      <c r="A26" s="85" t="n"/>
      <c r="B26" s="86" t="inlineStr">
        <is>
          <t xml:space="preserve">   M — Setup, complex (h/batch): one-time time for complex/non-standard jobs.</t>
        </is>
      </c>
    </row>
    <row r="27" ht="15" customHeight="1" s="44">
      <c r="B27" s="43" t="inlineStr">
        <is>
          <t xml:space="preserve">   N — Run, standard (h/unit): repeating time per unit (piece, hit, hole, meter...).</t>
        </is>
      </c>
    </row>
    <row r="28" ht="15" customHeight="1" s="44">
      <c r="B28" s="43" t="inlineStr">
        <is>
          <t xml:space="preserve">   O — Run, complex (h/unit): repeating time per unit for complex jobs.</t>
        </is>
      </c>
    </row>
    <row r="29" ht="15" customHeight="1" s="44">
      <c r="B29" s="43" t="inlineStr">
        <is>
          <t xml:space="preserve">   P — Notes: anything relevant (yellow italic = unvalidated placeholder).</t>
        </is>
      </c>
    </row>
    <row r="30" ht="15" customHeight="1" s="44">
      <c r="A30" s="89" t="n"/>
      <c r="B30" s="90" t="n"/>
    </row>
    <row r="31" ht="15" customHeight="1" s="44">
      <c r="A31" s="85" t="inlineStr">
        <is>
          <t>4.</t>
        </is>
      </c>
      <c r="B31" s="86" t="inlineStr">
        <is>
          <t>Columns H, J, K calculate automatically — do not enter anything in those cells.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2026-06-10T07:13:52Z</dcterms:created>
  <dcterms:modified xmlns:dcterms="http://purl.org/dc/terms/" xmlns:xsi="http://www.w3.org/2001/XMLSchema-instance" xsi:type="dcterms:W3CDTF">2026-06-23T06:20:41Z</dcterms:modified>
  <cp:lastModifiedBy>Vojislav Gavrilovic</cp:lastModifiedBy>
  <cp:revision>0</cp:revision>
</cp:coreProperties>
</file>