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s &amp; Rates" sheetId="1" state="visible" r:id="rId3"/>
    <sheet name="Materials &amp; Procured" sheetId="2" state="visible" r:id="rId4"/>
    <sheet name="Main Review" sheetId="3" state="visible" r:id="rId5"/>
    <sheet name="Quote" sheetId="4" state="visible" r:id="rId6"/>
  </sheets>
  <definedNames>
    <definedName function="false" hidden="false" name="ArcSpeed" vbProcedure="false">'Norms &amp; Rates'!$B$42</definedName>
    <definedName function="false" hidden="false" name="ArmaFlex_Cost" vbProcedure="false">'Materials &amp; Procured'!$D$22</definedName>
    <definedName function="false" hidden="false" name="ArmaFlex_Quot" vbProcedure="false">'Materials &amp; Procured'!$F$22</definedName>
    <definedName function="false" hidden="false" name="DS_C" vbProcedure="false">'Norms &amp; Rates'!$C$38</definedName>
    <definedName function="false" hidden="false" name="DS_H" vbProcedure="false">'Norms &amp; Rates'!$C$37</definedName>
    <definedName function="false" hidden="false" name="DS_L" vbProcedure="false">'Norms &amp; Rates'!$C$35</definedName>
    <definedName function="false" hidden="false" name="DS_M" vbProcedure="false">'Norms &amp; Rates'!$C$36</definedName>
    <definedName function="false" hidden="false" name="EngHours" vbProcedure="false">'Norms &amp; Rates'!$B$11</definedName>
    <definedName function="false" hidden="false" name="FEM_EUR" vbProcedure="false">'Norms &amp; Rates'!$B$92</definedName>
    <definedName function="false" hidden="false" name="FX" vbProcedure="false">'Norms &amp; Rates'!$B$8</definedName>
    <definedName function="false" hidden="false" name="GrandTotal_Int" vbProcedure="false">'Main Review'!$G$64</definedName>
    <definedName function="false" hidden="false" name="GrandTotal_Quot" vbProcedure="false">'Main Review'!$I$64</definedName>
    <definedName function="false" hidden="false" name="HB_C" vbProcedure="false">'Norms &amp; Rates'!$C$31</definedName>
    <definedName function="false" hidden="false" name="HB_H" vbProcedure="false">'Norms &amp; Rates'!$C$30</definedName>
    <definedName function="false" hidden="false" name="HB_L" vbProcedure="false">'Norms &amp; Rates'!$C$28</definedName>
    <definedName function="false" hidden="false" name="HB_M" vbProcedure="false">'Norms &amp; Rates'!$C$29</definedName>
    <definedName function="false" hidden="false" name="LabourRate" vbProcedure="false">'Norms &amp; Rates'!$B$6</definedName>
    <definedName function="false" hidden="false" name="LaserRemove_s" vbProcedure="false">'Norms &amp; Rates'!$B$91</definedName>
    <definedName function="false" hidden="false" name="MarkupPct" vbProcedure="false">'Norms &amp; Rates'!$B$7</definedName>
    <definedName function="false" hidden="false" name="NestingPct" vbProcedure="false">'Norms &amp; Rates'!$B$10</definedName>
    <definedName function="false" hidden="false" name="N_OP_006" vbProcedure="false">'Norms &amp; Rates'!$E$50</definedName>
    <definedName function="false" hidden="false" name="N_OP_007_8" vbProcedure="false">'Norms &amp; Rates'!$E$51</definedName>
    <definedName function="false" hidden="false" name="N_OP_009" vbProcedure="false">'Norms &amp; Rates'!$E$52</definedName>
    <definedName function="false" hidden="false" name="N_OP_010" vbProcedure="false">'Norms &amp; Rates'!$E$53</definedName>
    <definedName function="false" hidden="false" name="N_OP_011" vbProcedure="false">'Norms &amp; Rates'!$E$54</definedName>
    <definedName function="false" hidden="false" name="N_OP_011t" vbProcedure="false">'Norms &amp; Rates'!$E$55</definedName>
    <definedName function="false" hidden="false" name="N_OP_012" vbProcedure="false">'Norms &amp; Rates'!$E$56</definedName>
    <definedName function="false" hidden="false" name="N_OP_013" vbProcedure="false">'Norms &amp; Rates'!$E$57</definedName>
    <definedName function="false" hidden="false" name="N_OP_014" vbProcedure="false">'Norms &amp; Rates'!$E$58</definedName>
    <definedName function="false" hidden="false" name="N_OP_015" vbProcedure="false">'Norms &amp; Rates'!$E$59</definedName>
    <definedName function="false" hidden="false" name="N_OP_016" vbProcedure="false">'Norms &amp; Rates'!$E$60</definedName>
    <definedName function="false" hidden="false" name="N_OP_017c" vbProcedure="false">'Norms &amp; Rates'!$E$62</definedName>
    <definedName function="false" hidden="false" name="N_OP_017p" vbProcedure="false">'Norms &amp; Rates'!$E$61</definedName>
    <definedName function="false" hidden="false" name="N_OP_018" vbProcedure="false">'Norms &amp; Rates'!$E$63</definedName>
    <definedName function="false" hidden="false" name="N_OP_019" vbProcedure="false">'Norms &amp; Rates'!$E$64</definedName>
    <definedName function="false" hidden="false" name="N_OP_020" vbProcedure="false">'Norms &amp; Rates'!$E$65</definedName>
    <definedName function="false" hidden="false" name="N_OP_021" vbProcedure="false">'Norms &amp; Rates'!$E$66</definedName>
    <definedName function="false" hidden="false" name="N_OP_022" vbProcedure="false">'Norms &amp; Rates'!$E$67</definedName>
    <definedName function="false" hidden="false" name="N_OP_023" vbProcedure="false">'Norms &amp; Rates'!$E$68</definedName>
    <definedName function="false" hidden="false" name="N_OP_024" vbProcedure="false">'Norms &amp; Rates'!$E$69</definedName>
    <definedName function="false" hidden="false" name="N_OP_025" vbProcedure="false">'Norms &amp; Rates'!$E$70</definedName>
    <definedName function="false" hidden="false" name="N_OP_026" vbProcedure="false">'Norms &amp; Rates'!$E$71</definedName>
    <definedName function="false" hidden="false" name="OF" vbProcedure="false">'Norms &amp; Rates'!$B$43</definedName>
    <definedName function="false" hidden="false" name="OrderQty" vbProcedure="false">'Norms &amp; Rates'!$B$9</definedName>
    <definedName function="false" hidden="false" name="PaintArea_m2" vbProcedure="false">'Norms &amp; Rates'!$B$94</definedName>
    <definedName function="false" hidden="false" name="PowderCoat_EurM2" vbProcedure="false">'Norms &amp; Rates'!$B$95</definedName>
    <definedName function="false" hidden="false" name="ProcTot_Int" vbProcedure="false">'Materials &amp; Procured'!$F$33</definedName>
    <definedName function="false" hidden="false" name="ProcTot_Quot" vbProcedure="false">'Materials &amp; Procured'!$G$33</definedName>
    <definedName function="false" hidden="false" name="P_1_4404_10mm_Cost" vbProcedure="false">'Materials &amp; Procured'!$D$18</definedName>
    <definedName function="false" hidden="false" name="P_1_4404_10mm_Quot" vbProcedure="false">'Materials &amp; Procured'!$F$18</definedName>
    <definedName function="false" hidden="false" name="P_1_4404_1mm_Cost" vbProcedure="false">'Materials &amp; Procured'!$D$15</definedName>
    <definedName function="false" hidden="false" name="P_1_4404_1mm_Quot" vbProcedure="false">'Materials &amp; Procured'!$F$15</definedName>
    <definedName function="false" hidden="false" name="P_1_4404_3mm_Cost" vbProcedure="false">'Materials &amp; Procured'!$D$16</definedName>
    <definedName function="false" hidden="false" name="P_1_4404_3mm_Quot" vbProcedure="false">'Materials &amp; Procured'!$F$16</definedName>
    <definedName function="false" hidden="false" name="P_1_4404_6mm_Cost" vbProcedure="false">'Materials &amp; Procured'!$D$17</definedName>
    <definedName function="false" hidden="false" name="P_1_4404_6mm_Quot" vbProcedure="false">'Materials &amp; Procured'!$F$17</definedName>
    <definedName function="false" hidden="false" name="P_S235JR_10mm_Cost" vbProcedure="false">'Materials &amp; Procured'!$D$10</definedName>
    <definedName function="false" hidden="false" name="P_S235JR_10mm_Quot" vbProcedure="false">'Materials &amp; Procured'!$F$10</definedName>
    <definedName function="false" hidden="false" name="P_S235JR_12mm_Cost" vbProcedure="false">'Materials &amp; Procured'!$D$11</definedName>
    <definedName function="false" hidden="false" name="P_S235JR_12mm_Quot" vbProcedure="false">'Materials &amp; Procured'!$F$11</definedName>
    <definedName function="false" hidden="false" name="P_S235JR_17mm_Cost" vbProcedure="false">'Materials &amp; Procured'!$D$12</definedName>
    <definedName function="false" hidden="false" name="P_S235JR_17mm_Quot" vbProcedure="false">'Materials &amp; Procured'!$F$12</definedName>
    <definedName function="false" hidden="false" name="P_S235JR_25mm_Cost" vbProcedure="false">'Materials &amp; Procured'!$D$13</definedName>
    <definedName function="false" hidden="false" name="P_S235JR_25mm_Quot" vbProcedure="false">'Materials &amp; Procured'!$F$13</definedName>
    <definedName function="false" hidden="false" name="P_S235JR_2mm_Cost" vbProcedure="false">'Materials &amp; Procured'!$D$6</definedName>
    <definedName function="false" hidden="false" name="P_S235JR_2mm_Quot" vbProcedure="false">'Materials &amp; Procured'!$F$6</definedName>
    <definedName function="false" hidden="false" name="P_S235JR_3mm_Cost" vbProcedure="false">'Materials &amp; Procured'!$D$7</definedName>
    <definedName function="false" hidden="false" name="P_S235JR_3mm_Quot" vbProcedure="false">'Materials &amp; Procured'!$F$7</definedName>
    <definedName function="false" hidden="false" name="P_S235JR_40mm_Cost" vbProcedure="false">'Materials &amp; Procured'!$D$14</definedName>
    <definedName function="false" hidden="false" name="P_S235JR_40mm_Quot" vbProcedure="false">'Materials &amp; Procured'!$F$14</definedName>
    <definedName function="false" hidden="false" name="P_S235JR_5mm_Cost" vbProcedure="false">'Materials &amp; Procured'!$D$8</definedName>
    <definedName function="false" hidden="false" name="P_S235JR_5mm_Quot" vbProcedure="false">'Materials &amp; Procured'!$F$8</definedName>
    <definedName function="false" hidden="false" name="P_S235JR_8mm_Cost" vbProcedure="false">'Materials &amp; Procured'!$D$9</definedName>
    <definedName function="false" hidden="false" name="P_S235JR_8mm_Quot" vbProcedure="false">'Materials &amp; Procured'!$F$9</definedName>
    <definedName function="false" hidden="false" name="R_BRK_Int" vbProcedure="false">'Norms &amp; Rates'!$E$16</definedName>
    <definedName function="false" hidden="false" name="R_BRK_Quot" vbProcedure="false">'Norms &amp; Rates'!$G$16</definedName>
    <definedName function="false" hidden="false" name="R_DEBURR_Int" vbProcedure="false">'Norms &amp; Rates'!$E$20</definedName>
    <definedName function="false" hidden="false" name="R_DEBURR_Quot" vbProcedure="false">'Norms &amp; Rates'!$G$20</definedName>
    <definedName function="false" hidden="false" name="R_FINISH_OH_Int" vbProcedure="false">'Norms &amp; Rates'!$E$22</definedName>
    <definedName function="false" hidden="false" name="R_FINISH_OH_Quot" vbProcedure="false">'Norms &amp; Rates'!$G$22</definedName>
    <definedName function="false" hidden="false" name="R_FIXTURE_Int" vbProcedure="false">'Norms &amp; Rates'!$E$21</definedName>
    <definedName function="false" hidden="false" name="R_FIXTURE_Quot" vbProcedure="false">'Norms &amp; Rates'!$G$21</definedName>
    <definedName function="false" hidden="false" name="R_LAS_01_Int" vbProcedure="false">'Norms &amp; Rates'!$E$15</definedName>
    <definedName function="false" hidden="false" name="R_LAS_01_Quot" vbProcedure="false">'Norms &amp; Rates'!$G$15</definedName>
    <definedName function="false" hidden="false" name="R_LOG_OH_Int" vbProcedure="false">'Norms &amp; Rates'!$E$24</definedName>
    <definedName function="false" hidden="false" name="R_LOG_OH_Quot" vbProcedure="false">'Norms &amp; Rates'!$G$24</definedName>
    <definedName function="false" hidden="false" name="R_OBRADA_Int" vbProcedure="false">'Norms &amp; Rates'!$E$19</definedName>
    <definedName function="false" hidden="false" name="R_OBRADA_Quot" vbProcedure="false">'Norms &amp; Rates'!$G$19</definedName>
    <definedName function="false" hidden="false" name="R_QC_EQUIP_Int" vbProcedure="false">'Norms &amp; Rates'!$E$23</definedName>
    <definedName function="false" hidden="false" name="R_QC_EQUIP_Quot" vbProcedure="false">'Norms &amp; Rates'!$G$23</definedName>
    <definedName function="false" hidden="false" name="R_SAW_Int" vbProcedure="false">'Norms &amp; Rates'!$E$18</definedName>
    <definedName function="false" hidden="false" name="R_SAW_Quot" vbProcedure="false">'Norms &amp; Rates'!$G$18</definedName>
    <definedName function="false" hidden="false" name="R_WLD_Int" vbProcedure="false">'Norms &amp; Rates'!$E$17</definedName>
    <definedName function="false" hidden="false" name="R_WLD_Quot" vbProcedure="false">'Norms &amp; Rates'!$G$17</definedName>
    <definedName function="false" hidden="false" name="S_OP_006" vbProcedure="false">'Norms &amp; Rates'!$C$50</definedName>
    <definedName function="false" hidden="false" name="S_OP_007_8" vbProcedure="false">'Norms &amp; Rates'!$C$51</definedName>
    <definedName function="false" hidden="false" name="S_OP_009" vbProcedure="false">'Norms &amp; Rates'!$C$52</definedName>
    <definedName function="false" hidden="false" name="S_OP_010" vbProcedure="false">'Norms &amp; Rates'!$C$53</definedName>
    <definedName function="false" hidden="false" name="S_OP_011" vbProcedure="false">'Norms &amp; Rates'!$C$54</definedName>
    <definedName function="false" hidden="false" name="S_OP_011t" vbProcedure="false">'Norms &amp; Rates'!$C$55</definedName>
    <definedName function="false" hidden="false" name="S_OP_012" vbProcedure="false">'Norms &amp; Rates'!$C$56</definedName>
    <definedName function="false" hidden="false" name="S_OP_013" vbProcedure="false">'Norms &amp; Rates'!$C$57</definedName>
    <definedName function="false" hidden="false" name="S_OP_014" vbProcedure="false">'Norms &amp; Rates'!$C$58</definedName>
    <definedName function="false" hidden="false" name="S_OP_015" vbProcedure="false">'Norms &amp; Rates'!$C$59</definedName>
    <definedName function="false" hidden="false" name="S_OP_016" vbProcedure="false">'Norms &amp; Rates'!$C$60</definedName>
    <definedName function="false" hidden="false" name="S_OP_017c" vbProcedure="false">'Norms &amp; Rates'!$C$62</definedName>
    <definedName function="false" hidden="false" name="S_OP_017p" vbProcedure="false">'Norms &amp; Rates'!$C$61</definedName>
    <definedName function="false" hidden="false" name="S_OP_018" vbProcedure="false">'Norms &amp; Rates'!$C$63</definedName>
    <definedName function="false" hidden="false" name="S_OP_019" vbProcedure="false">'Norms &amp; Rates'!$C$64</definedName>
    <definedName function="false" hidden="false" name="S_OP_020" vbProcedure="false">'Norms &amp; Rates'!$C$65</definedName>
    <definedName function="false" hidden="false" name="S_OP_021" vbProcedure="false">'Norms &amp; Rates'!$C$66</definedName>
    <definedName function="false" hidden="false" name="S_OP_022" vbProcedure="false">'Norms &amp; Rates'!$C$67</definedName>
    <definedName function="false" hidden="false" name="S_OP_023" vbProcedure="false">'Norms &amp; Rates'!$C$68</definedName>
    <definedName function="false" hidden="false" name="S_OP_024" vbProcedure="false">'Norms &amp; Rates'!$C$69</definedName>
    <definedName function="false" hidden="false" name="S_OP_025" vbProcedure="false">'Norms &amp; Rates'!$C$70</definedName>
    <definedName function="false" hidden="false" name="S_OP_026" vbProcedure="false">'Norms &amp; Rates'!$C$71</definedName>
    <definedName function="false" hidden="false" name="Transport_EUR" vbProcedure="false">'Norms &amp; Rates'!$B$93</definedName>
    <definedName function="false" hidden="false" name="WeldCal" vbProcedure="false">'Norms &amp; Rates'!$B$44</definedName>
    <definedName function="false" hidden="false" name="WirePrice" vbProcedure="false">'Norms &amp; Rates'!$B$46</definedName>
    <definedName function="false" hidden="false" name="WireRate" vbProcedure="false">'Norms &amp; Rates'!$B$45</definedName>
    <definedName function="false" hidden="false" name="Wire_Cost" vbProcedure="false">'Materials &amp; Procured'!$D$26</definedName>
    <definedName function="false" hidden="false" name="Wire_Quot" vbProcedure="false">'Materials &amp; Procured'!$F$26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<sst xmlns="http://schemas.openxmlformats.org/spreadsheetml/2006/main" count="667" uniqueCount="400">
  <si>
    <t xml:space="preserve">PPM ESTIMATOR — NORMS &amp; RATES  ·  OFFICIAL TEMPLATE  ·  v1.0</t>
  </si>
  <si>
    <t xml:space="preserve">Sourced live from Supabase ppm_reference schema — do not hand-edit this sheet without also updating the database. Blue-filled cells = editable inputs.</t>
  </si>
  <si>
    <t xml:space="preserve">GLOBAL CONSTANTS</t>
  </si>
  <si>
    <t xml:space="preserve">Constant</t>
  </si>
  <si>
    <t xml:space="preserve">Value</t>
  </si>
  <si>
    <t xml:space="preserve">Unit</t>
  </si>
  <si>
    <t xml:space="preserve">Note</t>
  </si>
  <si>
    <t xml:space="preserve">Labour Rate</t>
  </si>
  <si>
    <t xml:space="preserve">€/h</t>
  </si>
  <si>
    <t xml:space="preserve">confirmed</t>
  </si>
  <si>
    <t xml:space="preserve">Markup</t>
  </si>
  <si>
    <t xml:space="preserve">%</t>
  </si>
  <si>
    <t xml:space="preserve">internal × (1+markup) = quoted — D-568</t>
  </si>
  <si>
    <t xml:space="preserve">FX Rate (RSD → EUR)</t>
  </si>
  <si>
    <t xml:space="preserve">RSD/EUR</t>
  </si>
  <si>
    <t xml:space="preserve">update per current rate at quote time</t>
  </si>
  <si>
    <t xml:space="preserve">Order Quantity</t>
  </si>
  <si>
    <t xml:space="preserve">sets</t>
  </si>
  <si>
    <t xml:space="preserve">SET PER PROJECT — example value only</t>
  </si>
  <si>
    <t xml:space="preserve">Nesting Efficiency</t>
  </si>
  <si>
    <t xml:space="preserve">single global — D-591, OQ-188</t>
  </si>
  <si>
    <t xml:space="preserve">Engineering Hours</t>
  </si>
  <si>
    <t xml:space="preserve">h</t>
  </si>
  <si>
    <t xml:space="preserve">SET PER PROJECT — manual input, no default</t>
  </si>
  <si>
    <t xml:space="preserve">MACHINE / SHARED RATES  ·  live from Supabase ppm_reference.machine_rates</t>
  </si>
  <si>
    <t xml:space="preserve">Code</t>
  </si>
  <si>
    <t xml:space="preserve">Applies To</t>
  </si>
  <si>
    <t xml:space="preserve">Machine €/h</t>
  </si>
  <si>
    <t xml:space="preserve">Labour €/h</t>
  </si>
  <si>
    <t xml:space="preserve">Internal €/h</t>
  </si>
  <si>
    <t xml:space="preserve">Quoted €/h</t>
  </si>
  <si>
    <t xml:space="preserve">Source</t>
  </si>
  <si>
    <t xml:space="preserve">LAS-01</t>
  </si>
  <si>
    <t xml:space="preserve">Laser cutting (Bystronic SPRINT4020)</t>
  </si>
  <si>
    <t xml:space="preserve">D-593</t>
  </si>
  <si>
    <t xml:space="preserve">BRK</t>
  </si>
  <si>
    <t xml:space="preserve">Press brakes (TruBend 3100 + V1700S)</t>
  </si>
  <si>
    <t xml:space="preserve">D-570</t>
  </si>
  <si>
    <t xml:space="preserve">WLD</t>
  </si>
  <si>
    <t xml:space="preserve">Welding fleet (blended)</t>
  </si>
  <si>
    <t xml:space="preserve">D-592</t>
  </si>
  <si>
    <t xml:space="preserve">SAW</t>
  </si>
  <si>
    <t xml:space="preserve">Cutting to length</t>
  </si>
  <si>
    <t xml:space="preserve">Stirg file</t>
  </si>
  <si>
    <t xml:space="preserve">OBRADA</t>
  </si>
  <si>
    <t xml:space="preserve">Drill / grind / bench fab</t>
  </si>
  <si>
    <t xml:space="preserve">DEBURR</t>
  </si>
  <si>
    <t xml:space="preserve">Deburring</t>
  </si>
  <si>
    <t xml:space="preserve">FIXTURE</t>
  </si>
  <si>
    <t xml:space="preserve">Weld fit-up / tack</t>
  </si>
  <si>
    <t xml:space="preserve">FINISH-OH</t>
  </si>
  <si>
    <t xml:space="preserve">Assembly / finishing shared OH</t>
  </si>
  <si>
    <t xml:space="preserve">QC-EQUIP</t>
  </si>
  <si>
    <t xml:space="preserve">QC equipment</t>
  </si>
  <si>
    <t xml:space="preserve">LOG-OH</t>
  </si>
  <si>
    <t xml:space="preserve">Logistics shared OH</t>
  </si>
  <si>
    <t xml:space="preserve">HANDLING BRACKETS (D-509)  ·  by part mass</t>
  </si>
  <si>
    <t xml:space="preserve">Bracket</t>
  </si>
  <si>
    <t xml:space="preserve">Mass range</t>
  </si>
  <si>
    <t xml:space="preserve">h/pc</t>
  </si>
  <si>
    <t xml:space="preserve">Light</t>
  </si>
  <si>
    <t xml:space="preserve">&lt; 5 kg</t>
  </si>
  <si>
    <t xml:space="preserve">Medium</t>
  </si>
  <si>
    <t xml:space="preserve">5–20 kg</t>
  </si>
  <si>
    <t xml:space="preserve">Heavy</t>
  </si>
  <si>
    <t xml:space="preserve">20–50 kg</t>
  </si>
  <si>
    <t xml:space="preserve">Crane</t>
  </si>
  <si>
    <t xml:space="preserve">&gt; 50 kg</t>
  </si>
  <si>
    <t xml:space="preserve">DRILL SETUP TIERS  ·  by part mass (D-574)</t>
  </si>
  <si>
    <t xml:space="preserve">Tier</t>
  </si>
  <si>
    <t xml:space="preserve">sec/pc</t>
  </si>
  <si>
    <t xml:space="preserve">WELD CONSTANTS  ·  D-619: total_h = (seam_mm ÷ 104 ÷ 0.30) × 1.09  ·  applies to ALL jobs</t>
  </si>
  <si>
    <t xml:space="preserve">Arc Speed</t>
  </si>
  <si>
    <t xml:space="preserve">mm/min</t>
  </si>
  <si>
    <t xml:space="preserve">empirical blended</t>
  </si>
  <si>
    <t xml:space="preserve">Operating Factor</t>
  </si>
  <si>
    <t xml:space="preserve">AWS D1.1 default</t>
  </si>
  <si>
    <t xml:space="preserve">Calibration ×</t>
  </si>
  <si>
    <t xml:space="preserve">×</t>
  </si>
  <si>
    <t xml:space="preserve">D-619 — applies all jobs</t>
  </si>
  <si>
    <t xml:space="preserve">Wire Rate</t>
  </si>
  <si>
    <t xml:space="preserve">kg/h</t>
  </si>
  <si>
    <t xml:space="preserve">D-596</t>
  </si>
  <si>
    <t xml:space="preserve">Wire Price</t>
  </si>
  <si>
    <t xml:space="preserve">€/kg</t>
  </si>
  <si>
    <t xml:space="preserve">MIG ø1.0 19-12-3-L-Si</t>
  </si>
  <si>
    <t xml:space="preserve">OPERATION NORMS  ·  live from Supabase ppm_reference.operation_norms</t>
  </si>
  <si>
    <t xml:space="preserve">Op Code</t>
  </si>
  <si>
    <t xml:space="preserve">Operation</t>
  </si>
  <si>
    <t xml:space="preserve">Setup</t>
  </si>
  <si>
    <t xml:space="preserve">Setup Unit</t>
  </si>
  <si>
    <t xml:space="preserve">Run</t>
  </si>
  <si>
    <t xml:space="preserve">Run Unit</t>
  </si>
  <si>
    <t xml:space="preserve">Basis</t>
  </si>
  <si>
    <t xml:space="preserve">Machine</t>
  </si>
  <si>
    <t xml:space="preserve">OP-006</t>
  </si>
  <si>
    <t xml:space="preserve">Project Management</t>
  </si>
  <si>
    <t xml:space="preserve">—</t>
  </si>
  <si>
    <t xml:space="preserve">% of order-unit</t>
  </si>
  <si>
    <t xml:space="preserve">5% of order-unit total</t>
  </si>
  <si>
    <t xml:space="preserve">OP-007+8</t>
  </si>
  <si>
    <t xml:space="preserve">Receiving &amp; Marking</t>
  </si>
  <si>
    <t xml:space="preserve">min</t>
  </si>
  <si>
    <t xml:space="preserve">per order</t>
  </si>
  <si>
    <t xml:space="preserve">OP-009</t>
  </si>
  <si>
    <t xml:space="preserve">Laser Cut</t>
  </si>
  <si>
    <t xml:space="preserve">formula</t>
  </si>
  <si>
    <t xml:space="preserve">DXF pipeline + 5 s/pc removal</t>
  </si>
  <si>
    <t xml:space="preserve">D-607</t>
  </si>
  <si>
    <t xml:space="preserve">OP-010</t>
  </si>
  <si>
    <t xml:space="preserve">Cutting to Length</t>
  </si>
  <si>
    <t xml:space="preserve">per batch / per cut</t>
  </si>
  <si>
    <t xml:space="preserve">OP-011</t>
  </si>
  <si>
    <t xml:space="preserve">Drill Plain</t>
  </si>
  <si>
    <t xml:space="preserve">sec</t>
  </si>
  <si>
    <t xml:space="preserve">per hole</t>
  </si>
  <si>
    <t xml:space="preserve">D-616</t>
  </si>
  <si>
    <t xml:space="preserve">OP-011t</t>
  </si>
  <si>
    <t xml:space="preserve">Drill Tapped</t>
  </si>
  <si>
    <t xml:space="preserve">OP-012</t>
  </si>
  <si>
    <t xml:space="preserve">Press Bend</t>
  </si>
  <si>
    <t xml:space="preserve">per bend (flat)</t>
  </si>
  <si>
    <t xml:space="preserve">D-539</t>
  </si>
  <si>
    <t xml:space="preserve">OP-013</t>
  </si>
  <si>
    <t xml:space="preserve">Weld Grinding</t>
  </si>
  <si>
    <t xml:space="preserve">per m of weld</t>
  </si>
  <si>
    <t xml:space="preserve">D-617</t>
  </si>
  <si>
    <t xml:space="preserve">OP-014</t>
  </si>
  <si>
    <t xml:space="preserve">per piece</t>
  </si>
  <si>
    <t xml:space="preserve">OP-015</t>
  </si>
  <si>
    <t xml:space="preserve">Fit-up &amp; Tack</t>
  </si>
  <si>
    <t xml:space="preserve">per joint</t>
  </si>
  <si>
    <t xml:space="preserve">OP-016</t>
  </si>
  <si>
    <t xml:space="preserve">Welding</t>
  </si>
  <si>
    <t xml:space="preserve">(seam ÷ 104 ÷ 30%) × 1.09</t>
  </si>
  <si>
    <t xml:space="preserve">D-619</t>
  </si>
  <si>
    <t xml:space="preserve">OP-017p</t>
  </si>
  <si>
    <t xml:space="preserve">Painting Prep</t>
  </si>
  <si>
    <t xml:space="preserve">per m²</t>
  </si>
  <si>
    <t xml:space="preserve">OP-017c</t>
  </si>
  <si>
    <t xml:space="preserve">Painting Coats</t>
  </si>
  <si>
    <t xml:space="preserve">OP-018</t>
  </si>
  <si>
    <t xml:space="preserve">Insulation (ArmaFlex)</t>
  </si>
  <si>
    <t xml:space="preserve">D-363</t>
  </si>
  <si>
    <t xml:space="preserve">OP-019</t>
  </si>
  <si>
    <t xml:space="preserve">Hardware Insertion</t>
  </si>
  <si>
    <t xml:space="preserve">per fastener</t>
  </si>
  <si>
    <t xml:space="preserve">D-575</t>
  </si>
  <si>
    <t xml:space="preserve">OP-020</t>
  </si>
  <si>
    <t xml:space="preserve">Assembly (per part instance)</t>
  </si>
  <si>
    <t xml:space="preserve">per part + handling bracket</t>
  </si>
  <si>
    <t xml:space="preserve">D-576</t>
  </si>
  <si>
    <t xml:space="preserve">OP-021</t>
  </si>
  <si>
    <t xml:space="preserve">Sealing</t>
  </si>
  <si>
    <t xml:space="preserve">per m</t>
  </si>
  <si>
    <t xml:space="preserve">D-618</t>
  </si>
  <si>
    <t xml:space="preserve">OP-022</t>
  </si>
  <si>
    <t xml:space="preserve">Final Fitting</t>
  </si>
  <si>
    <t xml:space="preserve">OP-023</t>
  </si>
  <si>
    <t xml:space="preserve">Visual QC</t>
  </si>
  <si>
    <t xml:space="preserve">per finished unit</t>
  </si>
  <si>
    <t xml:space="preserve">D-577</t>
  </si>
  <si>
    <t xml:space="preserve">OP-024</t>
  </si>
  <si>
    <t xml:space="preserve">Dimensional Inspection</t>
  </si>
  <si>
    <t xml:space="preserve">OP-025</t>
  </si>
  <si>
    <t xml:space="preserve">Packaging</t>
  </si>
  <si>
    <t xml:space="preserve">per order unit</t>
  </si>
  <si>
    <t xml:space="preserve">OP-026</t>
  </si>
  <si>
    <t xml:space="preserve">Shipping Prep</t>
  </si>
  <si>
    <t xml:space="preserve">LASER PARAMETERS  ·  SPRINT4020  ·  D-622 CAM-calibrated where noted, extrapolated otherwise</t>
  </si>
  <si>
    <t xml:space="preserve">Material</t>
  </si>
  <si>
    <t xml:space="preserve">t mm</t>
  </si>
  <si>
    <t xml:space="preserve">Gas</t>
  </si>
  <si>
    <t xml:space="preserve">Speed mm/min</t>
  </si>
  <si>
    <t xml:space="preserve">Pierce s</t>
  </si>
  <si>
    <t xml:space="preserve">Lead mm</t>
  </si>
  <si>
    <t xml:space="preserve">Eff %</t>
  </si>
  <si>
    <t xml:space="preserve">Eff mm/min</t>
  </si>
  <si>
    <t xml:space="preserve">S235JR</t>
  </si>
  <si>
    <t xml:space="preserve">2 mm</t>
  </si>
  <si>
    <t xml:space="preserve">N2</t>
  </si>
  <si>
    <t xml:space="preserve">D-622 CAM-calibrated: 18,157.57mm/7:58</t>
  </si>
  <si>
    <t xml:space="preserve">3 mm</t>
  </si>
  <si>
    <t xml:space="preserve">D-622 CAM-calibrated: 15,950.24mm/9:37</t>
  </si>
  <si>
    <t xml:space="preserve">5 mm</t>
  </si>
  <si>
    <t xml:space="preserve">D-622 CAM-calibrated: 17,867.05mm/13:04</t>
  </si>
  <si>
    <t xml:space="preserve">8 mm</t>
  </si>
  <si>
    <t xml:space="preserve">O2</t>
  </si>
  <si>
    <t xml:space="preserve">D-622 CAM-calibrated: 6,425.51mm/4:46</t>
  </si>
  <si>
    <t xml:space="preserve">10 mm</t>
  </si>
  <si>
    <t xml:space="preserve">extrapolated — OQ-190</t>
  </si>
  <si>
    <t xml:space="preserve">12 mm</t>
  </si>
  <si>
    <t xml:space="preserve">17 mm</t>
  </si>
  <si>
    <t xml:space="preserve">25 mm</t>
  </si>
  <si>
    <t xml:space="preserve">40 mm</t>
  </si>
  <si>
    <t xml:space="preserve">flagged — plasma/waterjet likely, laser marginal</t>
  </si>
  <si>
    <t xml:space="preserve">1.4404</t>
  </si>
  <si>
    <t xml:space="preserve">1 mm</t>
  </si>
  <si>
    <t xml:space="preserve">CAM-calibrated — dense holes</t>
  </si>
  <si>
    <t xml:space="preserve">CAM-calibrated — simple geometry</t>
  </si>
  <si>
    <t xml:space="preserve">6 mm</t>
  </si>
  <si>
    <t xml:space="preserve">CAM-calibrated — small discs</t>
  </si>
  <si>
    <t xml:space="preserve">extrapolated — no CAM data yet</t>
  </si>
  <si>
    <t xml:space="preserve">AUXILIARY</t>
  </si>
  <si>
    <t xml:space="preserve">Item</t>
  </si>
  <si>
    <t xml:space="preserve">Laser piece removal</t>
  </si>
  <si>
    <t xml:space="preserve">D-573</t>
  </si>
  <si>
    <t xml:space="preserve">FEM calculation (fixed)</t>
  </si>
  <si>
    <t xml:space="preserve">€/asm</t>
  </si>
  <si>
    <t xml:space="preserve">SET PER PROJECT — no default</t>
  </si>
  <si>
    <t xml:space="preserve">Transport (fixed order)</t>
  </si>
  <si>
    <t xml:space="preserve">€/order</t>
  </si>
  <si>
    <t xml:space="preserve">Painted area</t>
  </si>
  <si>
    <t xml:space="preserve">m²/asm</t>
  </si>
  <si>
    <t xml:space="preserve">Powder Coating (outsource)</t>
  </si>
  <si>
    <t xml:space="preserve">€/m²</t>
  </si>
  <si>
    <t xml:space="preserve">RAL 7016/7024 outsource — confirmed rate</t>
  </si>
  <si>
    <t xml:space="preserve">MATERIALS &amp; PROCURED ITEMS  ·  OFFICIAL TEMPLATE  ·  v1.0</t>
  </si>
  <si>
    <t xml:space="preserve">Steel/consumables pulled live from Supabase ppm_reference.materials. Procured Items section is per-project — clear the example rows and add your own.</t>
  </si>
  <si>
    <t xml:space="preserve">STEEL — PER-THICKNESS PRICING  ·  live from Supabase ppm_reference.materials</t>
  </si>
  <si>
    <t xml:space="preserve">Thickness</t>
  </si>
  <si>
    <t xml:space="preserve">Cost €/kg</t>
  </si>
  <si>
    <t xml:space="preserve">Quoted €/kg</t>
  </si>
  <si>
    <t xml:space="preserve">Category</t>
  </si>
  <si>
    <t xml:space="preserve">S235JR  2mm</t>
  </si>
  <si>
    <t xml:space="preserve">kg</t>
  </si>
  <si>
    <t xml:space="preserve">thin</t>
  </si>
  <si>
    <t xml:space="preserve">sheet stock</t>
  </si>
  <si>
    <t xml:space="preserve">S235JR  3mm</t>
  </si>
  <si>
    <t xml:space="preserve">main tank panels</t>
  </si>
  <si>
    <t xml:space="preserve">S235JR  5mm</t>
  </si>
  <si>
    <t xml:space="preserve">structural / ribs</t>
  </si>
  <si>
    <t xml:space="preserve">S235JR  8mm</t>
  </si>
  <si>
    <t xml:space="preserve">brackets</t>
  </si>
  <si>
    <t xml:space="preserve">S235JR  10mm</t>
  </si>
  <si>
    <t xml:space="preserve">medium</t>
  </si>
  <si>
    <t xml:space="preserve">S235JR  12mm</t>
  </si>
  <si>
    <t xml:space="preserve">plates</t>
  </si>
  <si>
    <t xml:space="preserve">S235JR  17mm</t>
  </si>
  <si>
    <t xml:space="preserve">heavy</t>
  </si>
  <si>
    <t xml:space="preserve">VP=180 category — confirm before use</t>
  </si>
  <si>
    <t xml:space="preserve">S235JR  25mm</t>
  </si>
  <si>
    <t xml:space="preserve">S235JR  40mm</t>
  </si>
  <si>
    <t xml:space="preserve">flagged — may need plasma/waterjet not laser</t>
  </si>
  <si>
    <t xml:space="preserve">1.4404  1mm</t>
  </si>
  <si>
    <t xml:space="preserve">SS</t>
  </si>
  <si>
    <t xml:space="preserve">PLACEHOLDER — Metalmania not stocked, confirm supplier</t>
  </si>
  <si>
    <t xml:space="preserve">1.4404  3mm</t>
  </si>
  <si>
    <t xml:space="preserve">PLACEHOLDER</t>
  </si>
  <si>
    <t xml:space="preserve">1.4404  6mm</t>
  </si>
  <si>
    <t xml:space="preserve">1.4404  10mm</t>
  </si>
  <si>
    <t xml:space="preserve">INSULATION</t>
  </si>
  <si>
    <t xml:space="preserve">Spec</t>
  </si>
  <si>
    <t xml:space="preserve">Cost €/m²</t>
  </si>
  <si>
    <t xml:space="preserve">Quoted €/m²</t>
  </si>
  <si>
    <t xml:space="preserve">ArmaFlex RA-25</t>
  </si>
  <si>
    <t xml:space="preserve">RAIL SD EN 45545</t>
  </si>
  <si>
    <t xml:space="preserve">m²</t>
  </si>
  <si>
    <t xml:space="preserve">D-363 confirmed</t>
  </si>
  <si>
    <t xml:space="preserve">WELDING CONSUMABLES  ·  auto-calculated from weld hours</t>
  </si>
  <si>
    <t xml:space="preserve">Cost</t>
  </si>
  <si>
    <t xml:space="preserve">Quoted</t>
  </si>
  <si>
    <t xml:space="preserve">MIG Wire ø1.0mm</t>
  </si>
  <si>
    <t xml:space="preserve">19-12-3-L-Si (Z000167)</t>
  </si>
  <si>
    <t xml:space="preserve">PROCURED ITEMS  ·  PROJECT-SPECIFIC — clear these examples and add your own per job</t>
  </si>
  <si>
    <t xml:space="preserve">Supplier</t>
  </si>
  <si>
    <t xml:space="preserve">Qty/set</t>
  </si>
  <si>
    <t xml:space="preserve">RSD net/pc</t>
  </si>
  <si>
    <t xml:space="preserve">€ net/pc</t>
  </si>
  <si>
    <t xml:space="preserve">Int € /set</t>
  </si>
  <si>
    <t xml:space="preserve">Quoted € /set</t>
  </si>
  <si>
    <t xml:space="preserve">EXAMPLE — replace with real item</t>
  </si>
  <si>
    <t xml:space="preserve">Supplier name</t>
  </si>
  <si>
    <t xml:space="preserve">placeholder row — delete or overwrite</t>
  </si>
  <si>
    <t xml:space="preserve">TOTAL PROCURED (per set)</t>
  </si>
  <si>
    <t xml:space="preserve">MAIN REVIEW  ·  OFFICIAL TEMPLATE  ·  v1.0</t>
  </si>
  <si>
    <t xml:space="preserve">All values per ONE ASSEMBLY. Detail block below has 2 EXAMPLE parts — clear and replace with real project parts. Order-qty multiplication happens on Quote sheet only.</t>
  </si>
  <si>
    <t xml:space="preserve">▼  SUMMARY — cost per assembly (per set)  ▼</t>
  </si>
  <si>
    <t xml:space="preserve">OPERATIONS</t>
  </si>
  <si>
    <t xml:space="preserve">Hours</t>
  </si>
  <si>
    <t xml:space="preserve">Int €/h</t>
  </si>
  <si>
    <t xml:space="preserve">Int €</t>
  </si>
  <si>
    <t xml:space="preserve">Quot €/h</t>
  </si>
  <si>
    <t xml:space="preserve">Quot €</t>
  </si>
  <si>
    <t xml:space="preserve">Sum of per-part cut minutes → h</t>
  </si>
  <si>
    <t xml:space="preserve">Laser Setup (sheets)</t>
  </si>
  <si>
    <t xml:space="preserve">sheet count × 11 min</t>
  </si>
  <si>
    <t xml:space="preserve">Sum bends × 40s → h</t>
  </si>
  <si>
    <t xml:space="preserve">Bend Setup</t>
  </si>
  <si>
    <t xml:space="preserve">Distinct bent PNs × 15 min</t>
  </si>
  <si>
    <t xml:space="preserve">Sum plain holes × 6s</t>
  </si>
  <si>
    <t xml:space="preserve">Sum tapped holes × 8s</t>
  </si>
  <si>
    <t xml:space="preserve">Drill Setup</t>
  </si>
  <si>
    <t xml:space="preserve">Per-piece by mass bracket</t>
  </si>
  <si>
    <t xml:space="preserve">Total seam length × 3 min/m</t>
  </si>
  <si>
    <t xml:space="preserve">All parts × 3 min</t>
  </si>
  <si>
    <t xml:space="preserve">Weld joints × 6 min</t>
  </si>
  <si>
    <t xml:space="preserve">Welding (arc + OF)</t>
  </si>
  <si>
    <t xml:space="preserve">D-619 formula per weldment</t>
  </si>
  <si>
    <t xml:space="preserve">Insulation</t>
  </si>
  <si>
    <t xml:space="preserve">ArmaFlex pieces × 6 min</t>
  </si>
  <si>
    <t xml:space="preserve">fasteners × 8s</t>
  </si>
  <si>
    <t xml:space="preserve">Assembly</t>
  </si>
  <si>
    <t xml:space="preserve">Parts × (5min + handling bracket)</t>
  </si>
  <si>
    <t xml:space="preserve">Seal length × 6 min/m</t>
  </si>
  <si>
    <t xml:space="preserve">All parts × 18 min</t>
  </si>
  <si>
    <t xml:space="preserve">1 unit × 3 min</t>
  </si>
  <si>
    <t xml:space="preserve">Dimensional QC</t>
  </si>
  <si>
    <t xml:space="preserve">1 unit × 9 min</t>
  </si>
  <si>
    <t xml:space="preserve">1 unit × 25 min</t>
  </si>
  <si>
    <t xml:space="preserve">12 min ÷ order qty (spread)</t>
  </si>
  <si>
    <t xml:space="preserve">TOTAL OPERATIONS</t>
  </si>
  <si>
    <t xml:space="preserve">RAW MATERIALS</t>
  </si>
  <si>
    <t xml:space="preserve">Grade / thickness</t>
  </si>
  <si>
    <t xml:space="preserve">Net qty</t>
  </si>
  <si>
    <t xml:space="preserve">Nest %</t>
  </si>
  <si>
    <t xml:space="preserve">Gross qty</t>
  </si>
  <si>
    <t xml:space="preserve">€/unit</t>
  </si>
  <si>
    <t xml:space="preserve">Quot €/unit</t>
  </si>
  <si>
    <t xml:space="preserve">S235JR 2mm</t>
  </si>
  <si>
    <t xml:space="preserve">sheet</t>
  </si>
  <si>
    <t xml:space="preserve">S235JR 3mm</t>
  </si>
  <si>
    <t xml:space="preserve">S235JR 5mm</t>
  </si>
  <si>
    <t xml:space="preserve">S235JR 8mm</t>
  </si>
  <si>
    <t xml:space="preserve">S235JR 10mm</t>
  </si>
  <si>
    <t xml:space="preserve">plate</t>
  </si>
  <si>
    <t xml:space="preserve">S235JR 12mm</t>
  </si>
  <si>
    <t xml:space="preserve">S235JR 17mm</t>
  </si>
  <si>
    <t xml:space="preserve">plate (heavy)</t>
  </si>
  <si>
    <t xml:space="preserve">S235JR 25mm</t>
  </si>
  <si>
    <t xml:space="preserve">S235JR 40mm</t>
  </si>
  <si>
    <t xml:space="preserve">1.4404 SS 1mm</t>
  </si>
  <si>
    <t xml:space="preserve">1.4404 SS 3mm</t>
  </si>
  <si>
    <t xml:space="preserve">1.4404 SS 6mm</t>
  </si>
  <si>
    <t xml:space="preserve">1.4404 SS 10mm</t>
  </si>
  <si>
    <t xml:space="preserve">insul</t>
  </si>
  <si>
    <t xml:space="preserve">MIG Wire (auto from weld hours)</t>
  </si>
  <si>
    <t xml:space="preserve">consumable</t>
  </si>
  <si>
    <t xml:space="preserve">TOTAL RAW MATERIALS</t>
  </si>
  <si>
    <t xml:space="preserve">PROCURED ITEMS  (per set)</t>
  </si>
  <si>
    <t xml:space="preserve">Sum of all procured items (Sheet 2)</t>
  </si>
  <si>
    <t xml:space="preserve">pulled from Materials &amp; Procured sheet</t>
  </si>
  <si>
    <t xml:space="preserve">TOTAL PROCURED</t>
  </si>
  <si>
    <t xml:space="preserve">FIXED COSTS  (per assembly unit)</t>
  </si>
  <si>
    <t xml:space="preserve">Engineering</t>
  </si>
  <si>
    <t xml:space="preserve">EngHours × LabourRate ÷ OrderQty</t>
  </si>
  <si>
    <t xml:space="preserve">FEM Calculation</t>
  </si>
  <si>
    <t xml:space="preserve">flat per assembly</t>
  </si>
  <si>
    <t xml:space="preserve">Transport</t>
  </si>
  <si>
    <t xml:space="preserve">fixed order amount ÷ OrderQty</t>
  </si>
  <si>
    <t xml:space="preserve">Painting Prep Labour</t>
  </si>
  <si>
    <t xml:space="preserve">10 min/asm prep (mask, hang, unwrap)</t>
  </si>
  <si>
    <t xml:space="preserve">PaintArea × €/m² (RAL, if applicable)</t>
  </si>
  <si>
    <t xml:space="preserve">TOTAL FIXED COSTS</t>
  </si>
  <si>
    <t xml:space="preserve">TOTAL PER ASSEMBLY</t>
  </si>
  <si>
    <t xml:space="preserve">▼  DETAIL — per part breakdown (EXAMPLES — replace with real project parts)  ▼</t>
  </si>
  <si>
    <t xml:space="preserve">Part / Operation</t>
  </si>
  <si>
    <t xml:space="preserve">Detail / Basis</t>
  </si>
  <si>
    <t xml:space="preserve">Qty/Time</t>
  </si>
  <si>
    <t xml:space="preserve">  EXAMPLE-PN-001</t>
  </si>
  <si>
    <t xml:space="preserve">S235JR 3mm × qty 1</t>
  </si>
  <si>
    <t xml:space="preserve">kg/pc</t>
  </si>
  <si>
    <t xml:space="preserve">  ├ Laser Cut</t>
  </si>
  <si>
    <t xml:space="preserve">formula per D-6xx pipeline — fill with real cut length/bends/holes</t>
  </si>
  <si>
    <t xml:space="preserve">  ├ Press Bend</t>
  </si>
  <si>
    <t xml:space="preserve">  ├ Drill Plain</t>
  </si>
  <si>
    <t xml:space="preserve">  ├ Deburring</t>
  </si>
  <si>
    <t xml:space="preserve">  ├ Assembly</t>
  </si>
  <si>
    <t xml:space="preserve">  ├ Final Fitting</t>
  </si>
  <si>
    <t xml:space="preserve">  EXAMPLE WELDMENT</t>
  </si>
  <si>
    <t xml:space="preserve">seam mm · joints</t>
  </si>
  <si>
    <t xml:space="preserve">mm</t>
  </si>
  <si>
    <t xml:space="preserve">  ├ Fit-up &amp; Tack</t>
  </si>
  <si>
    <t xml:space="preserve">joints × 6 min</t>
  </si>
  <si>
    <t xml:space="preserve">  ├ Welding</t>
  </si>
  <si>
    <t xml:space="preserve">(seam÷104÷30%)×1.09 — D-619</t>
  </si>
  <si>
    <t xml:space="preserve">  ├ Weld Grinding</t>
  </si>
  <si>
    <t xml:space="preserve">seam/1000 × 3 min/m</t>
  </si>
  <si>
    <t xml:space="preserve">QUOTE  ·  OFFICIAL TEMPLATE  ·  v1.0</t>
  </si>
  <si>
    <t xml:space="preserve">Base = TOTAL PER ASSEMBLY from Main Review. Risk % and Margin % below are example defaults from the last approved quote — confirm per project.</t>
  </si>
  <si>
    <t xml:space="preserve">QUOTE INPUTS</t>
  </si>
  <si>
    <t xml:space="preserve">from Norms sheet</t>
  </si>
  <si>
    <t xml:space="preserve">Risk %</t>
  </si>
  <si>
    <t xml:space="preserve">editable — 8% used on last approved quote</t>
  </si>
  <si>
    <t xml:space="preserve">Margin %</t>
  </si>
  <si>
    <t xml:space="preserve">editable — 30% used on last approved quote (confirm before reuse)</t>
  </si>
  <si>
    <t xml:space="preserve">BASE  —  from Main Review</t>
  </si>
  <si>
    <t xml:space="preserve">Per Unit</t>
  </si>
  <si>
    <t xml:space="preserve">Per Order Qty</t>
  </si>
  <si>
    <t xml:space="preserve">Internal Cost</t>
  </si>
  <si>
    <t xml:space="preserve">Quotable Base</t>
  </si>
  <si>
    <t xml:space="preserve">QUOTE BUILD-UP</t>
  </si>
  <si>
    <t xml:space="preserve">+ Risk</t>
  </si>
  <si>
    <t xml:space="preserve">Subtotal (Base + Risk)</t>
  </si>
  <si>
    <t xml:space="preserve">+ Margin (on subtotal)</t>
  </si>
  <si>
    <t xml:space="preserve">TOTAL QUOTED</t>
  </si>
  <si>
    <t xml:space="preserve">PROFIT ANALYSIS</t>
  </si>
  <si>
    <t xml:space="preserve">Quoted Price</t>
  </si>
  <si>
    <t xml:space="preserve">PROFIT (Quoted − Internal)</t>
  </si>
  <si>
    <t xml:space="preserve">Effective margin on internal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</si>
</sst>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&quot; €/h&quot;"/>
    <numFmt numFmtId="166" formatCode="0.0%"/>
    <numFmt numFmtId="167" formatCode="#,##0&quot; RSD/EUR&quot;"/>
    <numFmt numFmtId="168" formatCode="#,##0&quot; sets&quot;"/>
    <numFmt numFmtId="169" formatCode="#,##0&quot; h&quot;"/>
    <numFmt numFmtId="170" formatCode="#,##0.00&quot; €/h&quot;"/>
    <numFmt numFmtId="171" formatCode="#,##0.000&quot; h&quot;"/>
    <numFmt numFmtId="172" formatCode="#,##0&quot; sec&quot;"/>
    <numFmt numFmtId="173" formatCode="#,##0&quot; mm/min&quot;"/>
    <numFmt numFmtId="174" formatCode="0.00&quot; ×&quot;"/>
    <numFmt numFmtId="175" formatCode="0.0000&quot; kg/h&quot;"/>
    <numFmt numFmtId="176" formatCode="#,##0.00&quot; €/kg&quot;"/>
    <numFmt numFmtId="177" formatCode="#,##0&quot; min&quot;"/>
    <numFmt numFmtId="178" formatCode="#,##0.00&quot; s&quot;"/>
    <numFmt numFmtId="179" formatCode="#,##0&quot; mm&quot;"/>
    <numFmt numFmtId="180" formatCode="#,##0&quot; sec/pc&quot;"/>
    <numFmt numFmtId="181" formatCode="#,##0.00&quot; €&quot;"/>
    <numFmt numFmtId="182" formatCode="#,##0.00&quot; m²&quot;"/>
    <numFmt numFmtId="183" formatCode="#,##0.00&quot; €/m²&quot;"/>
    <numFmt numFmtId="184" formatCode="#,##0"/>
    <numFmt numFmtId="185" formatCode="#,##0.00&quot; RSD&quot;"/>
    <numFmt numFmtId="186" formatCode="#,##0.00&quot; kg&quot;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8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9"/>
      <color rgb="FF1F4E7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7A1F1F"/>
      <name val="Arial"/>
      <family val="0"/>
      <charset val="1"/>
    </font>
    <font>
      <b val="true"/>
      <sz val="10"/>
      <color rgb="FFCC6600"/>
      <name val="Arial"/>
      <family val="0"/>
      <charset val="1"/>
    </font>
    <font>
      <i val="true"/>
      <sz val="9"/>
      <color rgb="FFCC66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55724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B5D2E"/>
      <name val="Arial"/>
      <family val="0"/>
      <charset val="1"/>
    </font>
    <font>
      <sz val="10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55724"/>
      </patternFill>
    </fill>
    <fill>
      <patternFill patternType="solid">
        <fgColor rgb="FF0F2A47"/>
        <bgColor rgb="FF333333"/>
      </patternFill>
    </fill>
    <fill>
      <patternFill patternType="solid">
        <fgColor rgb="FFEBF0FA"/>
        <bgColor rgb="FFEAEEF2"/>
      </patternFill>
    </fill>
    <fill>
      <patternFill patternType="solid">
        <fgColor rgb="FFEAEEF2"/>
        <bgColor rgb="FFEBF0FA"/>
      </patternFill>
    </fill>
    <fill>
      <patternFill patternType="solid">
        <fgColor rgb="FFE8F5E9"/>
        <bgColor rgb="FFF0F9F0"/>
      </patternFill>
    </fill>
    <fill>
      <patternFill patternType="solid">
        <fgColor rgb="FFDEECF9"/>
        <bgColor rgb="FFEAEEF2"/>
      </patternFill>
    </fill>
    <fill>
      <patternFill patternType="solid">
        <fgColor rgb="FF2E7DD1"/>
        <bgColor rgb="FF0066CC"/>
      </patternFill>
    </fill>
    <fill>
      <patternFill patternType="solid">
        <fgColor rgb="FFF0F9F0"/>
        <bgColor rgb="FFE8F5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3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3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2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2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2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6" fontId="12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12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2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D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9F0"/>
      <rgbColor rgb="FFDEECF9"/>
      <rgbColor rgb="FF660066"/>
      <rgbColor rgb="FFFF8080"/>
      <rgbColor rgb="FF0066CC"/>
      <rgbColor rgb="FFEBF0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AEEF2"/>
      <rgbColor rgb="FFFFFF99"/>
      <rgbColor rgb="FF99CCFF"/>
      <rgbColor rgb="FFFF99CC"/>
      <rgbColor rgb="FFCC99FF"/>
      <rgbColor rgb="FFFFCC99"/>
      <rgbColor rgb="FF2E7DD1"/>
      <rgbColor rgb="FF33CCCC"/>
      <rgbColor rgb="FF99CC00"/>
      <rgbColor rgb="FFFFCC00"/>
      <rgbColor rgb="FFFF9900"/>
      <rgbColor rgb="FFCC6600"/>
      <rgbColor rgb="FF555555"/>
      <rgbColor rgb="FFAAAAAA"/>
      <rgbColor rgb="FF0F2A47"/>
      <rgbColor rgb="FF339966"/>
      <rgbColor rgb="FF155724"/>
      <rgbColor rgb="FF333300"/>
      <rgbColor rgb="FF7A1F1F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3</v>
      </c>
      <c r="B5" s="4" t="s">
        <v>4</v>
      </c>
      <c r="C5" s="4"/>
      <c r="D5" s="4" t="s">
        <v>5</v>
      </c>
      <c r="E5" s="4"/>
      <c r="F5" s="4"/>
      <c r="G5" s="4"/>
      <c r="H5" s="4"/>
      <c r="I5" s="4" t="s">
        <v>6</v>
      </c>
    </row>
    <row r="6" customFormat="false" ht="15" hidden="false" customHeight="false" outlineLevel="0" collapsed="false">
      <c r="A6" s="5" t="s">
        <v>7</v>
      </c>
      <c r="B6" s="6" t="n">
        <v>18</v>
      </c>
      <c r="D6" s="7" t="s">
        <v>8</v>
      </c>
      <c r="I6" s="8" t="s">
        <v>9</v>
      </c>
    </row>
    <row r="7" customFormat="false" ht="15" hidden="false" customHeight="false" outlineLevel="0" collapsed="false">
      <c r="A7" s="5" t="s">
        <v>10</v>
      </c>
      <c r="B7" s="9" t="n">
        <v>0.3</v>
      </c>
      <c r="D7" s="7" t="s">
        <v>11</v>
      </c>
      <c r="I7" s="8" t="s">
        <v>12</v>
      </c>
    </row>
    <row r="8" customFormat="false" ht="15" hidden="false" customHeight="false" outlineLevel="0" collapsed="false">
      <c r="A8" s="5" t="s">
        <v>13</v>
      </c>
      <c r="B8" s="10" t="n">
        <v>117</v>
      </c>
      <c r="D8" s="7" t="s">
        <v>14</v>
      </c>
      <c r="I8" s="8" t="s">
        <v>15</v>
      </c>
    </row>
    <row r="9" customFormat="false" ht="15" hidden="false" customHeight="false" outlineLevel="0" collapsed="false">
      <c r="A9" s="5" t="s">
        <v>16</v>
      </c>
      <c r="B9" s="11" t="n">
        <v>1</v>
      </c>
      <c r="D9" s="7" t="s">
        <v>17</v>
      </c>
      <c r="I9" s="8" t="s">
        <v>18</v>
      </c>
    </row>
    <row r="10" customFormat="false" ht="15" hidden="false" customHeight="false" outlineLevel="0" collapsed="false">
      <c r="A10" s="5" t="s">
        <v>19</v>
      </c>
      <c r="B10" s="9" t="n">
        <v>0.8</v>
      </c>
      <c r="D10" s="7" t="s">
        <v>11</v>
      </c>
      <c r="I10" s="8" t="s">
        <v>20</v>
      </c>
    </row>
    <row r="11" customFormat="false" ht="15" hidden="false" customHeight="false" outlineLevel="0" collapsed="false">
      <c r="A11" s="5" t="s">
        <v>21</v>
      </c>
      <c r="B11" s="12" t="n">
        <v>0</v>
      </c>
      <c r="D11" s="7" t="s">
        <v>22</v>
      </c>
      <c r="I11" s="8" t="s">
        <v>23</v>
      </c>
    </row>
    <row r="13" customFormat="false" ht="19.5" hidden="false" customHeight="true" outlineLevel="0" collapsed="false">
      <c r="A13" s="3" t="s">
        <v>24</v>
      </c>
      <c r="B13" s="3"/>
      <c r="C13" s="3"/>
      <c r="D13" s="3"/>
      <c r="E13" s="3"/>
      <c r="F13" s="3"/>
      <c r="G13" s="3"/>
      <c r="H13" s="3"/>
      <c r="I13" s="3"/>
    </row>
    <row r="14" customFormat="false" ht="27.75" hidden="false" customHeight="true" outlineLevel="0" collapsed="false">
      <c r="A14" s="4" t="s">
        <v>25</v>
      </c>
      <c r="B14" s="4" t="s">
        <v>26</v>
      </c>
      <c r="C14" s="4" t="s">
        <v>27</v>
      </c>
      <c r="D14" s="4" t="s">
        <v>28</v>
      </c>
      <c r="E14" s="4" t="s">
        <v>29</v>
      </c>
      <c r="F14" s="4"/>
      <c r="G14" s="4" t="s">
        <v>30</v>
      </c>
      <c r="H14" s="4"/>
      <c r="I14" s="4" t="s">
        <v>31</v>
      </c>
    </row>
    <row r="15" customFormat="false" ht="15" hidden="false" customHeight="false" outlineLevel="0" collapsed="false">
      <c r="A15" s="13" t="s">
        <v>32</v>
      </c>
      <c r="B15" s="14" t="s">
        <v>33</v>
      </c>
      <c r="C15" s="15" t="n">
        <v>144</v>
      </c>
      <c r="D15" s="16" t="n">
        <f aca="false">LabourRate</f>
        <v>18</v>
      </c>
      <c r="E15" s="17" t="n">
        <f aca="false">C15+D15</f>
        <v>162</v>
      </c>
      <c r="G15" s="18" t="n">
        <f aca="false">E15*(1+MarkupPct)</f>
        <v>210.6</v>
      </c>
      <c r="I15" s="8" t="s">
        <v>34</v>
      </c>
    </row>
    <row r="16" customFormat="false" ht="15" hidden="false" customHeight="false" outlineLevel="0" collapsed="false">
      <c r="A16" s="13" t="s">
        <v>35</v>
      </c>
      <c r="B16" s="14" t="s">
        <v>36</v>
      </c>
      <c r="C16" s="15" t="n">
        <v>42</v>
      </c>
      <c r="D16" s="16" t="n">
        <f aca="false">LabourRate</f>
        <v>18</v>
      </c>
      <c r="E16" s="17" t="n">
        <f aca="false">C16+D16</f>
        <v>60</v>
      </c>
      <c r="G16" s="18" t="n">
        <f aca="false">E16*(1+MarkupPct)</f>
        <v>78</v>
      </c>
      <c r="I16" s="8" t="s">
        <v>37</v>
      </c>
    </row>
    <row r="17" customFormat="false" ht="15" hidden="false" customHeight="false" outlineLevel="0" collapsed="false">
      <c r="A17" s="13" t="s">
        <v>38</v>
      </c>
      <c r="B17" s="14" t="s">
        <v>39</v>
      </c>
      <c r="C17" s="15" t="n">
        <v>32</v>
      </c>
      <c r="D17" s="16" t="n">
        <f aca="false">LabourRate</f>
        <v>18</v>
      </c>
      <c r="E17" s="17" t="n">
        <f aca="false">C17+D17</f>
        <v>50</v>
      </c>
      <c r="G17" s="18" t="n">
        <f aca="false">E17*(1+MarkupPct)</f>
        <v>65</v>
      </c>
      <c r="I17" s="8" t="s">
        <v>40</v>
      </c>
    </row>
    <row r="18" customFormat="false" ht="15" hidden="false" customHeight="false" outlineLevel="0" collapsed="false">
      <c r="A18" s="13" t="s">
        <v>41</v>
      </c>
      <c r="B18" s="14" t="s">
        <v>42</v>
      </c>
      <c r="C18" s="15" t="n">
        <v>7</v>
      </c>
      <c r="D18" s="16" t="n">
        <f aca="false">LabourRate</f>
        <v>18</v>
      </c>
      <c r="E18" s="17" t="n">
        <f aca="false">C18+D18</f>
        <v>25</v>
      </c>
      <c r="G18" s="18" t="n">
        <f aca="false">E18*(1+MarkupPct)</f>
        <v>32.5</v>
      </c>
      <c r="I18" s="8" t="s">
        <v>43</v>
      </c>
    </row>
    <row r="19" customFormat="false" ht="15" hidden="false" customHeight="false" outlineLevel="0" collapsed="false">
      <c r="A19" s="13" t="s">
        <v>44</v>
      </c>
      <c r="B19" s="14" t="s">
        <v>45</v>
      </c>
      <c r="C19" s="15" t="n">
        <v>7</v>
      </c>
      <c r="D19" s="16" t="n">
        <f aca="false">LabourRate</f>
        <v>18</v>
      </c>
      <c r="E19" s="17" t="n">
        <f aca="false">C19+D19</f>
        <v>25</v>
      </c>
      <c r="G19" s="18" t="n">
        <f aca="false">E19*(1+MarkupPct)</f>
        <v>32.5</v>
      </c>
      <c r="I19" s="8" t="s">
        <v>43</v>
      </c>
    </row>
    <row r="20" customFormat="false" ht="15" hidden="false" customHeight="false" outlineLevel="0" collapsed="false">
      <c r="A20" s="13" t="s">
        <v>46</v>
      </c>
      <c r="B20" s="14" t="s">
        <v>47</v>
      </c>
      <c r="C20" s="15" t="n">
        <v>4</v>
      </c>
      <c r="D20" s="16" t="n">
        <f aca="false">LabourRate</f>
        <v>18</v>
      </c>
      <c r="E20" s="17" t="n">
        <f aca="false">C20+D20</f>
        <v>22</v>
      </c>
      <c r="G20" s="18" t="n">
        <f aca="false">E20*(1+MarkupPct)</f>
        <v>28.6</v>
      </c>
      <c r="I20" s="8" t="s">
        <v>43</v>
      </c>
    </row>
    <row r="21" customFormat="false" ht="15" hidden="false" customHeight="false" outlineLevel="0" collapsed="false">
      <c r="A21" s="13" t="s">
        <v>48</v>
      </c>
      <c r="B21" s="14" t="s">
        <v>49</v>
      </c>
      <c r="C21" s="15" t="n">
        <v>30</v>
      </c>
      <c r="D21" s="16" t="n">
        <f aca="false">LabourRate</f>
        <v>18</v>
      </c>
      <c r="E21" s="17" t="n">
        <f aca="false">C21+D21</f>
        <v>48</v>
      </c>
      <c r="G21" s="18" t="n">
        <f aca="false">E21*(1+MarkupPct)</f>
        <v>62.4</v>
      </c>
      <c r="I21" s="8" t="s">
        <v>43</v>
      </c>
    </row>
    <row r="22" customFormat="false" ht="15" hidden="false" customHeight="false" outlineLevel="0" collapsed="false">
      <c r="A22" s="13" t="s">
        <v>50</v>
      </c>
      <c r="B22" s="14" t="s">
        <v>51</v>
      </c>
      <c r="C22" s="15" t="n">
        <v>7</v>
      </c>
      <c r="D22" s="16" t="n">
        <f aca="false">LabourRate</f>
        <v>18</v>
      </c>
      <c r="E22" s="17" t="n">
        <f aca="false">C22+D22</f>
        <v>25</v>
      </c>
      <c r="G22" s="18" t="n">
        <f aca="false">E22*(1+MarkupPct)</f>
        <v>32.5</v>
      </c>
      <c r="I22" s="8" t="s">
        <v>43</v>
      </c>
    </row>
    <row r="23" customFormat="false" ht="15" hidden="false" customHeight="false" outlineLevel="0" collapsed="false">
      <c r="A23" s="13" t="s">
        <v>52</v>
      </c>
      <c r="B23" s="14" t="s">
        <v>53</v>
      </c>
      <c r="C23" s="15" t="n">
        <v>22</v>
      </c>
      <c r="D23" s="16" t="n">
        <f aca="false">LabourRate</f>
        <v>18</v>
      </c>
      <c r="E23" s="17" t="n">
        <f aca="false">C23+D23</f>
        <v>40</v>
      </c>
      <c r="G23" s="18" t="n">
        <f aca="false">E23*(1+MarkupPct)</f>
        <v>52</v>
      </c>
      <c r="I23" s="8" t="s">
        <v>43</v>
      </c>
    </row>
    <row r="24" customFormat="false" ht="15" hidden="false" customHeight="false" outlineLevel="0" collapsed="false">
      <c r="A24" s="13" t="s">
        <v>54</v>
      </c>
      <c r="B24" s="14" t="s">
        <v>55</v>
      </c>
      <c r="C24" s="15" t="n">
        <v>4</v>
      </c>
      <c r="D24" s="16" t="n">
        <f aca="false">LabourRate</f>
        <v>18</v>
      </c>
      <c r="E24" s="17" t="n">
        <f aca="false">C24+D24</f>
        <v>22</v>
      </c>
      <c r="G24" s="18" t="n">
        <f aca="false">E24*(1+MarkupPct)</f>
        <v>28.6</v>
      </c>
      <c r="I24" s="8" t="s">
        <v>43</v>
      </c>
    </row>
    <row r="26" customFormat="false" ht="19.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  <c r="I26" s="3"/>
    </row>
    <row r="27" customFormat="false" ht="27.75" hidden="false" customHeight="true" outlineLevel="0" collapsed="false">
      <c r="A27" s="4" t="s">
        <v>57</v>
      </c>
      <c r="B27" s="4" t="s">
        <v>58</v>
      </c>
      <c r="C27" s="4" t="s">
        <v>59</v>
      </c>
      <c r="D27" s="4"/>
      <c r="E27" s="4"/>
      <c r="F27" s="4"/>
      <c r="G27" s="4"/>
      <c r="H27" s="4"/>
      <c r="I27" s="4" t="s">
        <v>6</v>
      </c>
    </row>
    <row r="28" customFormat="false" ht="15" hidden="false" customHeight="false" outlineLevel="0" collapsed="false">
      <c r="A28" s="5" t="s">
        <v>60</v>
      </c>
      <c r="B28" s="14" t="s">
        <v>61</v>
      </c>
      <c r="C28" s="19" t="n">
        <v>0.03</v>
      </c>
    </row>
    <row r="29" customFormat="false" ht="15" hidden="false" customHeight="false" outlineLevel="0" collapsed="false">
      <c r="A29" s="5" t="s">
        <v>62</v>
      </c>
      <c r="B29" s="14" t="s">
        <v>63</v>
      </c>
      <c r="C29" s="19" t="n">
        <v>0.07</v>
      </c>
    </row>
    <row r="30" customFormat="false" ht="15" hidden="false" customHeight="false" outlineLevel="0" collapsed="false">
      <c r="A30" s="5" t="s">
        <v>64</v>
      </c>
      <c r="B30" s="14" t="s">
        <v>65</v>
      </c>
      <c r="C30" s="19" t="n">
        <v>0.15</v>
      </c>
    </row>
    <row r="31" customFormat="false" ht="15" hidden="false" customHeight="false" outlineLevel="0" collapsed="false">
      <c r="A31" s="5" t="s">
        <v>66</v>
      </c>
      <c r="B31" s="14" t="s">
        <v>67</v>
      </c>
      <c r="C31" s="19" t="n">
        <v>0.35</v>
      </c>
    </row>
    <row r="33" customFormat="false" ht="19.5" hidden="false" customHeight="true" outlineLevel="0" collapsed="false">
      <c r="A33" s="3" t="s">
        <v>68</v>
      </c>
      <c r="B33" s="3"/>
      <c r="C33" s="3"/>
      <c r="D33" s="3"/>
      <c r="E33" s="3"/>
      <c r="F33" s="3"/>
      <c r="G33" s="3"/>
      <c r="H33" s="3"/>
      <c r="I33" s="3"/>
    </row>
    <row r="34" customFormat="false" ht="27.75" hidden="false" customHeight="true" outlineLevel="0" collapsed="false">
      <c r="A34" s="4" t="s">
        <v>69</v>
      </c>
      <c r="B34" s="4" t="s">
        <v>58</v>
      </c>
      <c r="C34" s="4" t="s">
        <v>70</v>
      </c>
      <c r="D34" s="4"/>
      <c r="E34" s="4"/>
      <c r="F34" s="4"/>
      <c r="G34" s="4"/>
      <c r="H34" s="4"/>
      <c r="I34" s="4" t="s">
        <v>6</v>
      </c>
    </row>
    <row r="35" customFormat="false" ht="15" hidden="false" customHeight="false" outlineLevel="0" collapsed="false">
      <c r="A35" s="5" t="s">
        <v>60</v>
      </c>
      <c r="B35" s="14" t="s">
        <v>61</v>
      </c>
      <c r="C35" s="20" t="n">
        <v>20</v>
      </c>
    </row>
    <row r="36" customFormat="false" ht="15" hidden="false" customHeight="false" outlineLevel="0" collapsed="false">
      <c r="A36" s="5" t="s">
        <v>62</v>
      </c>
      <c r="B36" s="14" t="s">
        <v>63</v>
      </c>
      <c r="C36" s="20" t="n">
        <v>40</v>
      </c>
    </row>
    <row r="37" customFormat="false" ht="15" hidden="false" customHeight="false" outlineLevel="0" collapsed="false">
      <c r="A37" s="5" t="s">
        <v>64</v>
      </c>
      <c r="B37" s="14" t="s">
        <v>65</v>
      </c>
      <c r="C37" s="20" t="n">
        <v>90</v>
      </c>
    </row>
    <row r="38" customFormat="false" ht="15" hidden="false" customHeight="false" outlineLevel="0" collapsed="false">
      <c r="A38" s="5" t="s">
        <v>66</v>
      </c>
      <c r="B38" s="14" t="s">
        <v>67</v>
      </c>
      <c r="C38" s="20" t="n">
        <v>180</v>
      </c>
    </row>
    <row r="40" customFormat="false" ht="19.5" hidden="false" customHeight="true" outlineLevel="0" collapsed="false">
      <c r="A40" s="3" t="s">
        <v>71</v>
      </c>
      <c r="B40" s="3"/>
      <c r="C40" s="3"/>
      <c r="D40" s="3"/>
      <c r="E40" s="3"/>
      <c r="F40" s="3"/>
      <c r="G40" s="3"/>
      <c r="H40" s="3"/>
      <c r="I40" s="3"/>
    </row>
    <row r="41" customFormat="false" ht="27.75" hidden="false" customHeight="true" outlineLevel="0" collapsed="false">
      <c r="A41" s="4" t="s">
        <v>3</v>
      </c>
      <c r="B41" s="4" t="s">
        <v>4</v>
      </c>
      <c r="C41" s="4"/>
      <c r="D41" s="4" t="s">
        <v>5</v>
      </c>
      <c r="E41" s="4"/>
      <c r="F41" s="4"/>
      <c r="G41" s="4"/>
      <c r="H41" s="4"/>
      <c r="I41" s="4" t="s">
        <v>6</v>
      </c>
    </row>
    <row r="42" customFormat="false" ht="15" hidden="false" customHeight="false" outlineLevel="0" collapsed="false">
      <c r="A42" s="5" t="s">
        <v>72</v>
      </c>
      <c r="B42" s="21" t="n">
        <v>104</v>
      </c>
      <c r="D42" s="7" t="s">
        <v>73</v>
      </c>
      <c r="I42" s="8" t="s">
        <v>74</v>
      </c>
    </row>
    <row r="43" customFormat="false" ht="15" hidden="false" customHeight="false" outlineLevel="0" collapsed="false">
      <c r="A43" s="5" t="s">
        <v>75</v>
      </c>
      <c r="B43" s="9" t="n">
        <v>0.3</v>
      </c>
      <c r="D43" s="7" t="s">
        <v>11</v>
      </c>
      <c r="I43" s="8" t="s">
        <v>76</v>
      </c>
    </row>
    <row r="44" customFormat="false" ht="15" hidden="false" customHeight="false" outlineLevel="0" collapsed="false">
      <c r="A44" s="5" t="s">
        <v>77</v>
      </c>
      <c r="B44" s="22" t="n">
        <v>1.09</v>
      </c>
      <c r="D44" s="7" t="s">
        <v>78</v>
      </c>
      <c r="I44" s="8" t="s">
        <v>79</v>
      </c>
    </row>
    <row r="45" customFormat="false" ht="15" hidden="false" customHeight="false" outlineLevel="0" collapsed="false">
      <c r="A45" s="5" t="s">
        <v>80</v>
      </c>
      <c r="B45" s="23" t="n">
        <v>0.1875</v>
      </c>
      <c r="D45" s="7" t="s">
        <v>81</v>
      </c>
      <c r="I45" s="8" t="s">
        <v>82</v>
      </c>
    </row>
    <row r="46" customFormat="false" ht="15" hidden="false" customHeight="false" outlineLevel="0" collapsed="false">
      <c r="A46" s="5" t="s">
        <v>83</v>
      </c>
      <c r="B46" s="24" t="n">
        <v>16.1966</v>
      </c>
      <c r="D46" s="7" t="s">
        <v>84</v>
      </c>
      <c r="I46" s="8" t="s">
        <v>85</v>
      </c>
    </row>
    <row r="48" customFormat="false" ht="19.5" hidden="false" customHeight="true" outlineLevel="0" collapsed="false">
      <c r="A48" s="3" t="s">
        <v>86</v>
      </c>
      <c r="B48" s="3"/>
      <c r="C48" s="3"/>
      <c r="D48" s="3"/>
      <c r="E48" s="3"/>
      <c r="F48" s="3"/>
      <c r="G48" s="3"/>
      <c r="H48" s="3"/>
      <c r="I48" s="3"/>
    </row>
    <row r="49" customFormat="false" ht="27.75" hidden="false" customHeight="true" outlineLevel="0" collapsed="false">
      <c r="A49" s="4" t="s">
        <v>87</v>
      </c>
      <c r="B49" s="4" t="s">
        <v>88</v>
      </c>
      <c r="C49" s="4" t="s">
        <v>89</v>
      </c>
      <c r="D49" s="4" t="s">
        <v>90</v>
      </c>
      <c r="E49" s="4" t="s">
        <v>91</v>
      </c>
      <c r="F49" s="4" t="s">
        <v>92</v>
      </c>
      <c r="G49" s="4" t="s">
        <v>93</v>
      </c>
      <c r="H49" s="4" t="s">
        <v>94</v>
      </c>
      <c r="I49" s="4" t="s">
        <v>6</v>
      </c>
    </row>
    <row r="50" customFormat="false" ht="15" hidden="false" customHeight="false" outlineLevel="0" collapsed="false">
      <c r="A50" s="25" t="s">
        <v>95</v>
      </c>
      <c r="B50" s="14" t="s">
        <v>96</v>
      </c>
      <c r="C50" s="14" t="s">
        <v>97</v>
      </c>
      <c r="D50" s="14" t="s">
        <v>97</v>
      </c>
      <c r="E50" s="9" t="n">
        <v>0.05</v>
      </c>
      <c r="F50" s="7" t="s">
        <v>98</v>
      </c>
      <c r="G50" s="7" t="s">
        <v>99</v>
      </c>
      <c r="H50" s="7" t="s">
        <v>97</v>
      </c>
      <c r="I50" s="8"/>
    </row>
    <row r="51" customFormat="false" ht="15" hidden="false" customHeight="false" outlineLevel="0" collapsed="false">
      <c r="A51" s="25" t="s">
        <v>100</v>
      </c>
      <c r="B51" s="14" t="s">
        <v>101</v>
      </c>
      <c r="C51" s="14" t="s">
        <v>97</v>
      </c>
      <c r="D51" s="14" t="s">
        <v>97</v>
      </c>
      <c r="E51" s="26" t="n">
        <v>20</v>
      </c>
      <c r="F51" s="7" t="s">
        <v>102</v>
      </c>
      <c r="G51" s="7" t="s">
        <v>103</v>
      </c>
      <c r="H51" s="7" t="s">
        <v>44</v>
      </c>
      <c r="I51" s="8"/>
    </row>
    <row r="52" customFormat="false" ht="15" hidden="false" customHeight="false" outlineLevel="0" collapsed="false">
      <c r="A52" s="25" t="s">
        <v>104</v>
      </c>
      <c r="B52" s="14" t="s">
        <v>105</v>
      </c>
      <c r="C52" s="26" t="n">
        <v>11</v>
      </c>
      <c r="D52" s="7" t="s">
        <v>102</v>
      </c>
      <c r="E52" s="27" t="s">
        <v>106</v>
      </c>
      <c r="F52" s="7" t="s">
        <v>106</v>
      </c>
      <c r="G52" s="7" t="s">
        <v>107</v>
      </c>
      <c r="H52" s="7" t="s">
        <v>32</v>
      </c>
      <c r="I52" s="8" t="s">
        <v>108</v>
      </c>
    </row>
    <row r="53" customFormat="false" ht="15" hidden="false" customHeight="false" outlineLevel="0" collapsed="false">
      <c r="A53" s="25" t="s">
        <v>109</v>
      </c>
      <c r="B53" s="14" t="s">
        <v>110</v>
      </c>
      <c r="C53" s="26" t="n">
        <v>6</v>
      </c>
      <c r="D53" s="7" t="s">
        <v>102</v>
      </c>
      <c r="E53" s="26" t="n">
        <v>3</v>
      </c>
      <c r="F53" s="7" t="s">
        <v>102</v>
      </c>
      <c r="G53" s="7" t="s">
        <v>111</v>
      </c>
      <c r="H53" s="7" t="s">
        <v>41</v>
      </c>
      <c r="I53" s="8"/>
    </row>
    <row r="54" customFormat="false" ht="15" hidden="false" customHeight="false" outlineLevel="0" collapsed="false">
      <c r="A54" s="25" t="s">
        <v>112</v>
      </c>
      <c r="B54" s="14" t="s">
        <v>113</v>
      </c>
      <c r="C54" s="14" t="s">
        <v>97</v>
      </c>
      <c r="D54" s="14" t="s">
        <v>97</v>
      </c>
      <c r="E54" s="20" t="n">
        <v>6</v>
      </c>
      <c r="F54" s="7" t="s">
        <v>114</v>
      </c>
      <c r="G54" s="7" t="s">
        <v>115</v>
      </c>
      <c r="H54" s="7" t="s">
        <v>44</v>
      </c>
      <c r="I54" s="8" t="s">
        <v>116</v>
      </c>
    </row>
    <row r="55" customFormat="false" ht="15" hidden="false" customHeight="false" outlineLevel="0" collapsed="false">
      <c r="A55" s="25" t="s">
        <v>117</v>
      </c>
      <c r="B55" s="14" t="s">
        <v>118</v>
      </c>
      <c r="C55" s="14" t="s">
        <v>97</v>
      </c>
      <c r="D55" s="14" t="s">
        <v>97</v>
      </c>
      <c r="E55" s="20" t="n">
        <v>8</v>
      </c>
      <c r="F55" s="7" t="s">
        <v>114</v>
      </c>
      <c r="G55" s="7" t="s">
        <v>115</v>
      </c>
      <c r="H55" s="7" t="s">
        <v>44</v>
      </c>
      <c r="I55" s="8" t="s">
        <v>116</v>
      </c>
    </row>
    <row r="56" customFormat="false" ht="15" hidden="false" customHeight="false" outlineLevel="0" collapsed="false">
      <c r="A56" s="25" t="s">
        <v>119</v>
      </c>
      <c r="B56" s="14" t="s">
        <v>120</v>
      </c>
      <c r="C56" s="26" t="n">
        <v>15</v>
      </c>
      <c r="D56" s="7" t="s">
        <v>102</v>
      </c>
      <c r="E56" s="20" t="n">
        <v>40</v>
      </c>
      <c r="F56" s="7" t="s">
        <v>114</v>
      </c>
      <c r="G56" s="7" t="s">
        <v>121</v>
      </c>
      <c r="H56" s="7" t="s">
        <v>35</v>
      </c>
      <c r="I56" s="8" t="s">
        <v>122</v>
      </c>
    </row>
    <row r="57" customFormat="false" ht="15" hidden="false" customHeight="false" outlineLevel="0" collapsed="false">
      <c r="A57" s="25" t="s">
        <v>123</v>
      </c>
      <c r="B57" s="14" t="s">
        <v>124</v>
      </c>
      <c r="C57" s="14" t="s">
        <v>97</v>
      </c>
      <c r="D57" s="14" t="s">
        <v>97</v>
      </c>
      <c r="E57" s="26" t="n">
        <v>3</v>
      </c>
      <c r="F57" s="7" t="s">
        <v>102</v>
      </c>
      <c r="G57" s="7" t="s">
        <v>125</v>
      </c>
      <c r="H57" s="7" t="s">
        <v>44</v>
      </c>
      <c r="I57" s="8" t="s">
        <v>126</v>
      </c>
    </row>
    <row r="58" customFormat="false" ht="15" hidden="false" customHeight="false" outlineLevel="0" collapsed="false">
      <c r="A58" s="25" t="s">
        <v>127</v>
      </c>
      <c r="B58" s="14" t="s">
        <v>47</v>
      </c>
      <c r="C58" s="14" t="s">
        <v>97</v>
      </c>
      <c r="D58" s="14" t="s">
        <v>97</v>
      </c>
      <c r="E58" s="26" t="n">
        <v>3</v>
      </c>
      <c r="F58" s="7" t="s">
        <v>102</v>
      </c>
      <c r="G58" s="7" t="s">
        <v>128</v>
      </c>
      <c r="H58" s="7" t="s">
        <v>46</v>
      </c>
      <c r="I58" s="8"/>
    </row>
    <row r="59" customFormat="false" ht="15" hidden="false" customHeight="false" outlineLevel="0" collapsed="false">
      <c r="A59" s="25" t="s">
        <v>129</v>
      </c>
      <c r="B59" s="14" t="s">
        <v>130</v>
      </c>
      <c r="C59" s="14" t="s">
        <v>97</v>
      </c>
      <c r="D59" s="14" t="s">
        <v>97</v>
      </c>
      <c r="E59" s="26" t="n">
        <v>6</v>
      </c>
      <c r="F59" s="7" t="s">
        <v>102</v>
      </c>
      <c r="G59" s="7" t="s">
        <v>131</v>
      </c>
      <c r="H59" s="7" t="s">
        <v>48</v>
      </c>
      <c r="I59" s="8"/>
    </row>
    <row r="60" customFormat="false" ht="15" hidden="false" customHeight="false" outlineLevel="0" collapsed="false">
      <c r="A60" s="25" t="s">
        <v>132</v>
      </c>
      <c r="B60" s="14" t="s">
        <v>133</v>
      </c>
      <c r="C60" s="14" t="s">
        <v>97</v>
      </c>
      <c r="D60" s="14" t="s">
        <v>97</v>
      </c>
      <c r="E60" s="27" t="s">
        <v>106</v>
      </c>
      <c r="F60" s="7" t="s">
        <v>106</v>
      </c>
      <c r="G60" s="7" t="s">
        <v>134</v>
      </c>
      <c r="H60" s="7" t="s">
        <v>38</v>
      </c>
      <c r="I60" s="8" t="s">
        <v>135</v>
      </c>
    </row>
    <row r="61" customFormat="false" ht="15" hidden="false" customHeight="false" outlineLevel="0" collapsed="false">
      <c r="A61" s="25" t="s">
        <v>136</v>
      </c>
      <c r="B61" s="14" t="s">
        <v>137</v>
      </c>
      <c r="C61" s="14" t="s">
        <v>97</v>
      </c>
      <c r="D61" s="14" t="s">
        <v>97</v>
      </c>
      <c r="E61" s="26" t="n">
        <v>8</v>
      </c>
      <c r="F61" s="7" t="s">
        <v>102</v>
      </c>
      <c r="G61" s="7" t="s">
        <v>138</v>
      </c>
      <c r="H61" s="7" t="s">
        <v>97</v>
      </c>
      <c r="I61" s="8"/>
    </row>
    <row r="62" customFormat="false" ht="15" hidden="false" customHeight="false" outlineLevel="0" collapsed="false">
      <c r="A62" s="25" t="s">
        <v>139</v>
      </c>
      <c r="B62" s="14" t="s">
        <v>140</v>
      </c>
      <c r="C62" s="14" t="s">
        <v>97</v>
      </c>
      <c r="D62" s="14" t="s">
        <v>97</v>
      </c>
      <c r="E62" s="26" t="n">
        <v>20</v>
      </c>
      <c r="F62" s="7" t="s">
        <v>102</v>
      </c>
      <c r="G62" s="7" t="s">
        <v>138</v>
      </c>
      <c r="H62" s="7" t="s">
        <v>97</v>
      </c>
      <c r="I62" s="8"/>
    </row>
    <row r="63" customFormat="false" ht="15" hidden="false" customHeight="false" outlineLevel="0" collapsed="false">
      <c r="A63" s="25" t="s">
        <v>141</v>
      </c>
      <c r="B63" s="14" t="s">
        <v>142</v>
      </c>
      <c r="C63" s="14" t="s">
        <v>97</v>
      </c>
      <c r="D63" s="14" t="s">
        <v>97</v>
      </c>
      <c r="E63" s="26" t="n">
        <v>6</v>
      </c>
      <c r="F63" s="7" t="s">
        <v>102</v>
      </c>
      <c r="G63" s="7" t="s">
        <v>128</v>
      </c>
      <c r="H63" s="7" t="s">
        <v>50</v>
      </c>
      <c r="I63" s="8" t="s">
        <v>143</v>
      </c>
    </row>
    <row r="64" customFormat="false" ht="15" hidden="false" customHeight="false" outlineLevel="0" collapsed="false">
      <c r="A64" s="25" t="s">
        <v>144</v>
      </c>
      <c r="B64" s="14" t="s">
        <v>145</v>
      </c>
      <c r="C64" s="14" t="s">
        <v>97</v>
      </c>
      <c r="D64" s="14" t="s">
        <v>97</v>
      </c>
      <c r="E64" s="20" t="n">
        <v>8</v>
      </c>
      <c r="F64" s="7" t="s">
        <v>114</v>
      </c>
      <c r="G64" s="7" t="s">
        <v>146</v>
      </c>
      <c r="H64" s="7" t="s">
        <v>97</v>
      </c>
      <c r="I64" s="8" t="s">
        <v>147</v>
      </c>
    </row>
    <row r="65" customFormat="false" ht="15" hidden="false" customHeight="false" outlineLevel="0" collapsed="false">
      <c r="A65" s="25" t="s">
        <v>148</v>
      </c>
      <c r="B65" s="14" t="s">
        <v>149</v>
      </c>
      <c r="C65" s="14" t="s">
        <v>97</v>
      </c>
      <c r="D65" s="14" t="s">
        <v>97</v>
      </c>
      <c r="E65" s="26" t="n">
        <v>5</v>
      </c>
      <c r="F65" s="7" t="s">
        <v>102</v>
      </c>
      <c r="G65" s="7" t="s">
        <v>150</v>
      </c>
      <c r="H65" s="7" t="s">
        <v>50</v>
      </c>
      <c r="I65" s="8" t="s">
        <v>151</v>
      </c>
    </row>
    <row r="66" customFormat="false" ht="15" hidden="false" customHeight="false" outlineLevel="0" collapsed="false">
      <c r="A66" s="25" t="s">
        <v>152</v>
      </c>
      <c r="B66" s="14" t="s">
        <v>153</v>
      </c>
      <c r="C66" s="14" t="s">
        <v>97</v>
      </c>
      <c r="D66" s="14" t="s">
        <v>97</v>
      </c>
      <c r="E66" s="26" t="n">
        <v>6</v>
      </c>
      <c r="F66" s="7" t="s">
        <v>102</v>
      </c>
      <c r="G66" s="7" t="s">
        <v>154</v>
      </c>
      <c r="H66" s="7" t="s">
        <v>50</v>
      </c>
      <c r="I66" s="8" t="s">
        <v>155</v>
      </c>
    </row>
    <row r="67" customFormat="false" ht="15" hidden="false" customHeight="false" outlineLevel="0" collapsed="false">
      <c r="A67" s="25" t="s">
        <v>156</v>
      </c>
      <c r="B67" s="14" t="s">
        <v>157</v>
      </c>
      <c r="C67" s="14" t="s">
        <v>97</v>
      </c>
      <c r="D67" s="14" t="s">
        <v>97</v>
      </c>
      <c r="E67" s="26" t="n">
        <v>18</v>
      </c>
      <c r="F67" s="7" t="s">
        <v>102</v>
      </c>
      <c r="G67" s="7" t="s">
        <v>128</v>
      </c>
      <c r="H67" s="7" t="s">
        <v>50</v>
      </c>
      <c r="I67" s="8" t="s">
        <v>155</v>
      </c>
    </row>
    <row r="68" customFormat="false" ht="15" hidden="false" customHeight="false" outlineLevel="0" collapsed="false">
      <c r="A68" s="25" t="s">
        <v>158</v>
      </c>
      <c r="B68" s="14" t="s">
        <v>159</v>
      </c>
      <c r="C68" s="14" t="s">
        <v>97</v>
      </c>
      <c r="D68" s="14" t="s">
        <v>97</v>
      </c>
      <c r="E68" s="26" t="n">
        <v>3</v>
      </c>
      <c r="F68" s="7" t="s">
        <v>102</v>
      </c>
      <c r="G68" s="7" t="s">
        <v>160</v>
      </c>
      <c r="H68" s="7" t="s">
        <v>52</v>
      </c>
      <c r="I68" s="8" t="s">
        <v>161</v>
      </c>
    </row>
    <row r="69" customFormat="false" ht="15" hidden="false" customHeight="false" outlineLevel="0" collapsed="false">
      <c r="A69" s="25" t="s">
        <v>162</v>
      </c>
      <c r="B69" s="14" t="s">
        <v>163</v>
      </c>
      <c r="C69" s="14" t="s">
        <v>97</v>
      </c>
      <c r="D69" s="14" t="s">
        <v>97</v>
      </c>
      <c r="E69" s="26" t="n">
        <v>9</v>
      </c>
      <c r="F69" s="7" t="s">
        <v>102</v>
      </c>
      <c r="G69" s="7" t="s">
        <v>160</v>
      </c>
      <c r="H69" s="7" t="s">
        <v>52</v>
      </c>
      <c r="I69" s="8" t="s">
        <v>161</v>
      </c>
    </row>
    <row r="70" customFormat="false" ht="15" hidden="false" customHeight="false" outlineLevel="0" collapsed="false">
      <c r="A70" s="25" t="s">
        <v>164</v>
      </c>
      <c r="B70" s="14" t="s">
        <v>165</v>
      </c>
      <c r="C70" s="14" t="s">
        <v>97</v>
      </c>
      <c r="D70" s="14" t="s">
        <v>97</v>
      </c>
      <c r="E70" s="26" t="n">
        <v>25</v>
      </c>
      <c r="F70" s="7" t="s">
        <v>102</v>
      </c>
      <c r="G70" s="7" t="s">
        <v>166</v>
      </c>
      <c r="H70" s="7" t="s">
        <v>54</v>
      </c>
      <c r="I70" s="8"/>
    </row>
    <row r="71" customFormat="false" ht="15" hidden="false" customHeight="false" outlineLevel="0" collapsed="false">
      <c r="A71" s="25" t="s">
        <v>167</v>
      </c>
      <c r="B71" s="14" t="s">
        <v>168</v>
      </c>
      <c r="C71" s="14" t="s">
        <v>97</v>
      </c>
      <c r="D71" s="14" t="s">
        <v>97</v>
      </c>
      <c r="E71" s="26" t="n">
        <v>12</v>
      </c>
      <c r="F71" s="7" t="s">
        <v>102</v>
      </c>
      <c r="G71" s="7" t="s">
        <v>103</v>
      </c>
      <c r="H71" s="7" t="s">
        <v>54</v>
      </c>
      <c r="I71" s="8"/>
    </row>
    <row r="73" customFormat="false" ht="19.5" hidden="false" customHeight="true" outlineLevel="0" collapsed="false">
      <c r="A73" s="3" t="s">
        <v>169</v>
      </c>
      <c r="B73" s="3"/>
      <c r="C73" s="3"/>
      <c r="D73" s="3"/>
      <c r="E73" s="3"/>
      <c r="F73" s="3"/>
      <c r="G73" s="3"/>
      <c r="H73" s="3"/>
      <c r="I73" s="3"/>
    </row>
    <row r="74" customFormat="false" ht="27.75" hidden="false" customHeight="true" outlineLevel="0" collapsed="false">
      <c r="A74" s="4" t="s">
        <v>170</v>
      </c>
      <c r="B74" s="4" t="s">
        <v>171</v>
      </c>
      <c r="C74" s="4" t="s">
        <v>172</v>
      </c>
      <c r="D74" s="4" t="s">
        <v>173</v>
      </c>
      <c r="E74" s="4" t="s">
        <v>174</v>
      </c>
      <c r="F74" s="4" t="s">
        <v>175</v>
      </c>
      <c r="G74" s="4" t="s">
        <v>176</v>
      </c>
      <c r="H74" s="4" t="s">
        <v>177</v>
      </c>
      <c r="I74" s="4" t="s">
        <v>6</v>
      </c>
    </row>
    <row r="75" customFormat="false" ht="15" hidden="false" customHeight="false" outlineLevel="0" collapsed="false">
      <c r="A75" s="28" t="s">
        <v>178</v>
      </c>
      <c r="B75" s="14" t="s">
        <v>179</v>
      </c>
      <c r="C75" s="14" t="s">
        <v>180</v>
      </c>
      <c r="D75" s="21" t="n">
        <v>6100</v>
      </c>
      <c r="E75" s="29" t="n">
        <v>0.08</v>
      </c>
      <c r="F75" s="30" t="n">
        <v>3</v>
      </c>
      <c r="G75" s="9" t="n">
        <v>0.374</v>
      </c>
      <c r="H75" s="31" t="n">
        <f aca="false">D75*G75</f>
        <v>2281.4</v>
      </c>
      <c r="I75" s="8" t="s">
        <v>181</v>
      </c>
    </row>
    <row r="76" customFormat="false" ht="15" hidden="false" customHeight="false" outlineLevel="0" collapsed="false">
      <c r="A76" s="28" t="s">
        <v>178</v>
      </c>
      <c r="B76" s="14" t="s">
        <v>182</v>
      </c>
      <c r="C76" s="14" t="s">
        <v>180</v>
      </c>
      <c r="D76" s="21" t="n">
        <v>4000</v>
      </c>
      <c r="E76" s="29" t="n">
        <v>0.08</v>
      </c>
      <c r="F76" s="30" t="n">
        <v>4</v>
      </c>
      <c r="G76" s="9" t="n">
        <v>0.415</v>
      </c>
      <c r="H76" s="31" t="n">
        <f aca="false">D76*G76</f>
        <v>1660</v>
      </c>
      <c r="I76" s="8" t="s">
        <v>183</v>
      </c>
    </row>
    <row r="77" customFormat="false" ht="15" hidden="false" customHeight="false" outlineLevel="0" collapsed="false">
      <c r="A77" s="28" t="s">
        <v>178</v>
      </c>
      <c r="B77" s="14" t="s">
        <v>184</v>
      </c>
      <c r="C77" s="14" t="s">
        <v>180</v>
      </c>
      <c r="D77" s="21" t="n">
        <v>2500</v>
      </c>
      <c r="E77" s="29" t="n">
        <v>0.3</v>
      </c>
      <c r="F77" s="30" t="n">
        <v>5</v>
      </c>
      <c r="G77" s="9" t="n">
        <v>0.547</v>
      </c>
      <c r="H77" s="31" t="n">
        <f aca="false">D77*G77</f>
        <v>1367.5</v>
      </c>
      <c r="I77" s="8" t="s">
        <v>185</v>
      </c>
    </row>
    <row r="78" customFormat="false" ht="15" hidden="false" customHeight="false" outlineLevel="0" collapsed="false">
      <c r="A78" s="28" t="s">
        <v>178</v>
      </c>
      <c r="B78" s="14" t="s">
        <v>186</v>
      </c>
      <c r="C78" s="14" t="s">
        <v>187</v>
      </c>
      <c r="D78" s="21" t="n">
        <v>2400</v>
      </c>
      <c r="E78" s="29" t="n">
        <v>0.5</v>
      </c>
      <c r="F78" s="30" t="n">
        <v>7</v>
      </c>
      <c r="G78" s="9" t="n">
        <v>0.562</v>
      </c>
      <c r="H78" s="31" t="n">
        <f aca="false">D78*G78</f>
        <v>1348.8</v>
      </c>
      <c r="I78" s="8" t="s">
        <v>188</v>
      </c>
    </row>
    <row r="79" customFormat="false" ht="15" hidden="false" customHeight="false" outlineLevel="0" collapsed="false">
      <c r="A79" s="28" t="s">
        <v>178</v>
      </c>
      <c r="B79" s="14" t="s">
        <v>189</v>
      </c>
      <c r="C79" s="14" t="s">
        <v>187</v>
      </c>
      <c r="D79" s="21" t="n">
        <v>2000</v>
      </c>
      <c r="E79" s="29" t="n">
        <v>0.5</v>
      </c>
      <c r="F79" s="30" t="n">
        <v>8</v>
      </c>
      <c r="G79" s="9" t="n">
        <v>0.55</v>
      </c>
      <c r="H79" s="31" t="n">
        <f aca="false">D79*G79</f>
        <v>1100</v>
      </c>
      <c r="I79" s="8" t="s">
        <v>190</v>
      </c>
    </row>
    <row r="80" customFormat="false" ht="15" hidden="false" customHeight="false" outlineLevel="0" collapsed="false">
      <c r="A80" s="28" t="s">
        <v>178</v>
      </c>
      <c r="B80" s="14" t="s">
        <v>191</v>
      </c>
      <c r="C80" s="14" t="s">
        <v>187</v>
      </c>
      <c r="D80" s="21" t="n">
        <v>1600</v>
      </c>
      <c r="E80" s="29" t="n">
        <v>0.6</v>
      </c>
      <c r="F80" s="30" t="n">
        <v>10</v>
      </c>
      <c r="G80" s="9" t="n">
        <v>0.52</v>
      </c>
      <c r="H80" s="31" t="n">
        <f aca="false">D80*G80</f>
        <v>832</v>
      </c>
      <c r="I80" s="8" t="s">
        <v>190</v>
      </c>
    </row>
    <row r="81" customFormat="false" ht="15" hidden="false" customHeight="false" outlineLevel="0" collapsed="false">
      <c r="A81" s="28" t="s">
        <v>178</v>
      </c>
      <c r="B81" s="14" t="s">
        <v>192</v>
      </c>
      <c r="C81" s="14" t="s">
        <v>187</v>
      </c>
      <c r="D81" s="21" t="n">
        <v>1140</v>
      </c>
      <c r="E81" s="29" t="n">
        <v>0.82</v>
      </c>
      <c r="F81" s="30" t="n">
        <v>14</v>
      </c>
      <c r="G81" s="9" t="n">
        <v>0.45</v>
      </c>
      <c r="H81" s="31" t="n">
        <f aca="false">D81*G81</f>
        <v>513</v>
      </c>
      <c r="I81" s="8" t="s">
        <v>190</v>
      </c>
    </row>
    <row r="82" customFormat="false" ht="15" hidden="false" customHeight="false" outlineLevel="0" collapsed="false">
      <c r="A82" s="28" t="s">
        <v>178</v>
      </c>
      <c r="B82" s="14" t="s">
        <v>193</v>
      </c>
      <c r="C82" s="14" t="s">
        <v>187</v>
      </c>
      <c r="D82" s="21" t="n">
        <v>700</v>
      </c>
      <c r="E82" s="29" t="n">
        <v>1</v>
      </c>
      <c r="F82" s="30" t="n">
        <v>16</v>
      </c>
      <c r="G82" s="9" t="n">
        <v>0.35</v>
      </c>
      <c r="H82" s="31" t="n">
        <f aca="false">D82*G82</f>
        <v>245</v>
      </c>
      <c r="I82" s="8" t="s">
        <v>190</v>
      </c>
    </row>
    <row r="83" customFormat="false" ht="15" hidden="false" customHeight="false" outlineLevel="0" collapsed="false">
      <c r="A83" s="28" t="s">
        <v>178</v>
      </c>
      <c r="B83" s="14" t="s">
        <v>194</v>
      </c>
      <c r="C83" s="14" t="s">
        <v>187</v>
      </c>
      <c r="D83" s="21" t="n">
        <v>700</v>
      </c>
      <c r="E83" s="29" t="n">
        <v>1</v>
      </c>
      <c r="F83" s="30" t="n">
        <v>25</v>
      </c>
      <c r="G83" s="9" t="n">
        <v>0.2</v>
      </c>
      <c r="H83" s="31" t="n">
        <f aca="false">D83*G83</f>
        <v>140</v>
      </c>
      <c r="I83" s="8" t="s">
        <v>195</v>
      </c>
    </row>
    <row r="84" customFormat="false" ht="15" hidden="false" customHeight="false" outlineLevel="0" collapsed="false">
      <c r="A84" s="28" t="s">
        <v>196</v>
      </c>
      <c r="B84" s="14" t="s">
        <v>197</v>
      </c>
      <c r="C84" s="14" t="s">
        <v>180</v>
      </c>
      <c r="D84" s="21" t="n">
        <v>10000</v>
      </c>
      <c r="E84" s="29" t="n">
        <v>0.08</v>
      </c>
      <c r="F84" s="30" t="n">
        <v>2</v>
      </c>
      <c r="G84" s="9" t="n">
        <v>0.223</v>
      </c>
      <c r="H84" s="31" t="n">
        <f aca="false">D84*G84</f>
        <v>2230</v>
      </c>
      <c r="I84" s="8" t="s">
        <v>198</v>
      </c>
    </row>
    <row r="85" customFormat="false" ht="15" hidden="false" customHeight="false" outlineLevel="0" collapsed="false">
      <c r="A85" s="28" t="s">
        <v>196</v>
      </c>
      <c r="B85" s="14" t="s">
        <v>182</v>
      </c>
      <c r="C85" s="14" t="s">
        <v>180</v>
      </c>
      <c r="D85" s="21" t="n">
        <v>4100</v>
      </c>
      <c r="E85" s="29" t="n">
        <v>0.08</v>
      </c>
      <c r="F85" s="30" t="n">
        <v>4</v>
      </c>
      <c r="G85" s="9" t="n">
        <v>0.567</v>
      </c>
      <c r="H85" s="31" t="n">
        <f aca="false">D85*G85</f>
        <v>2324.7</v>
      </c>
      <c r="I85" s="8" t="s">
        <v>199</v>
      </c>
    </row>
    <row r="86" customFormat="false" ht="15" hidden="false" customHeight="false" outlineLevel="0" collapsed="false">
      <c r="A86" s="28" t="s">
        <v>196</v>
      </c>
      <c r="B86" s="14" t="s">
        <v>200</v>
      </c>
      <c r="C86" s="14" t="s">
        <v>180</v>
      </c>
      <c r="D86" s="21" t="n">
        <v>2300</v>
      </c>
      <c r="E86" s="29" t="n">
        <v>0.5</v>
      </c>
      <c r="F86" s="30" t="n">
        <v>6</v>
      </c>
      <c r="G86" s="9" t="n">
        <v>0.483</v>
      </c>
      <c r="H86" s="31" t="n">
        <f aca="false">D86*G86</f>
        <v>1110.9</v>
      </c>
      <c r="I86" s="8" t="s">
        <v>201</v>
      </c>
    </row>
    <row r="87" customFormat="false" ht="15" hidden="false" customHeight="false" outlineLevel="0" collapsed="false">
      <c r="A87" s="28" t="s">
        <v>196</v>
      </c>
      <c r="B87" s="14" t="s">
        <v>189</v>
      </c>
      <c r="C87" s="14" t="s">
        <v>187</v>
      </c>
      <c r="D87" s="21" t="n">
        <v>1200</v>
      </c>
      <c r="E87" s="29" t="n">
        <v>1</v>
      </c>
      <c r="F87" s="30" t="n">
        <v>8</v>
      </c>
      <c r="G87" s="9" t="n">
        <v>0.085</v>
      </c>
      <c r="H87" s="31" t="n">
        <f aca="false">D87*G87</f>
        <v>102</v>
      </c>
      <c r="I87" s="8" t="s">
        <v>202</v>
      </c>
    </row>
    <row r="89" customFormat="false" ht="19.5" hidden="false" customHeight="true" outlineLevel="0" collapsed="false">
      <c r="A89" s="3" t="s">
        <v>203</v>
      </c>
      <c r="B89" s="3"/>
      <c r="C89" s="3"/>
      <c r="D89" s="3"/>
      <c r="E89" s="3"/>
      <c r="F89" s="3"/>
      <c r="G89" s="3"/>
      <c r="H89" s="3"/>
      <c r="I89" s="3"/>
    </row>
    <row r="90" customFormat="false" ht="27.75" hidden="false" customHeight="true" outlineLevel="0" collapsed="false">
      <c r="A90" s="4" t="s">
        <v>204</v>
      </c>
      <c r="B90" s="4" t="s">
        <v>4</v>
      </c>
      <c r="C90" s="4"/>
      <c r="D90" s="4" t="s">
        <v>5</v>
      </c>
      <c r="E90" s="4"/>
      <c r="F90" s="4"/>
      <c r="G90" s="4"/>
      <c r="H90" s="4"/>
      <c r="I90" s="4" t="s">
        <v>6</v>
      </c>
    </row>
    <row r="91" customFormat="false" ht="15" hidden="false" customHeight="false" outlineLevel="0" collapsed="false">
      <c r="A91" s="5" t="s">
        <v>205</v>
      </c>
      <c r="B91" s="32" t="n">
        <v>5</v>
      </c>
      <c r="D91" s="7" t="s">
        <v>70</v>
      </c>
      <c r="I91" s="8" t="s">
        <v>206</v>
      </c>
    </row>
    <row r="92" customFormat="false" ht="15" hidden="false" customHeight="false" outlineLevel="0" collapsed="false">
      <c r="A92" s="5" t="s">
        <v>207</v>
      </c>
      <c r="B92" s="33" t="n">
        <v>0</v>
      </c>
      <c r="D92" s="7" t="s">
        <v>208</v>
      </c>
      <c r="I92" s="8" t="s">
        <v>209</v>
      </c>
    </row>
    <row r="93" customFormat="false" ht="15" hidden="false" customHeight="false" outlineLevel="0" collapsed="false">
      <c r="A93" s="5" t="s">
        <v>210</v>
      </c>
      <c r="B93" s="33" t="n">
        <v>0</v>
      </c>
      <c r="D93" s="7" t="s">
        <v>211</v>
      </c>
      <c r="I93" s="8" t="s">
        <v>209</v>
      </c>
    </row>
    <row r="94" customFormat="false" ht="15" hidden="false" customHeight="false" outlineLevel="0" collapsed="false">
      <c r="A94" s="5" t="s">
        <v>212</v>
      </c>
      <c r="B94" s="34" t="n">
        <v>0</v>
      </c>
      <c r="D94" s="7" t="s">
        <v>213</v>
      </c>
      <c r="I94" s="8" t="s">
        <v>209</v>
      </c>
    </row>
    <row r="95" customFormat="false" ht="15" hidden="false" customHeight="false" outlineLevel="0" collapsed="false">
      <c r="A95" s="5" t="s">
        <v>214</v>
      </c>
      <c r="B95" s="35" t="n">
        <v>8</v>
      </c>
      <c r="D95" s="7" t="s">
        <v>215</v>
      </c>
      <c r="I95" s="8" t="s">
        <v>216</v>
      </c>
    </row>
  </sheetData>
  <mergeCells count="10">
    <mergeCell ref="A1:I1"/>
    <mergeCell ref="A2:I2"/>
    <mergeCell ref="A4:I4"/>
    <mergeCell ref="A13:I13"/>
    <mergeCell ref="A26:I26"/>
    <mergeCell ref="A33:I33"/>
    <mergeCell ref="A40:I40"/>
    <mergeCell ref="A48:I48"/>
    <mergeCell ref="A73:I73"/>
    <mergeCell ref="A89:I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38"/>
  </cols>
  <sheetData>
    <row r="1" customFormat="false" ht="25.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218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219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170</v>
      </c>
      <c r="B5" s="4" t="s">
        <v>220</v>
      </c>
      <c r="C5" s="4" t="s">
        <v>5</v>
      </c>
      <c r="D5" s="4" t="s">
        <v>221</v>
      </c>
      <c r="E5" s="4" t="s">
        <v>10</v>
      </c>
      <c r="F5" s="4" t="s">
        <v>222</v>
      </c>
      <c r="G5" s="4" t="s">
        <v>223</v>
      </c>
      <c r="H5" s="4" t="s">
        <v>6</v>
      </c>
    </row>
    <row r="6" customFormat="false" ht="15" hidden="false" customHeight="false" outlineLevel="0" collapsed="false">
      <c r="A6" s="13" t="s">
        <v>224</v>
      </c>
      <c r="B6" s="36" t="s">
        <v>179</v>
      </c>
      <c r="C6" s="36" t="s">
        <v>225</v>
      </c>
      <c r="D6" s="24" t="n">
        <v>1.24</v>
      </c>
      <c r="E6" s="37" t="n">
        <f aca="false">MarkupPct</f>
        <v>0.3</v>
      </c>
      <c r="F6" s="38" t="n">
        <f aca="false">D6*(1+E6)</f>
        <v>1.612</v>
      </c>
      <c r="G6" s="7" t="s">
        <v>226</v>
      </c>
      <c r="H6" s="8" t="s">
        <v>227</v>
      </c>
    </row>
    <row r="7" customFormat="false" ht="15" hidden="false" customHeight="false" outlineLevel="0" collapsed="false">
      <c r="A7" s="13" t="s">
        <v>228</v>
      </c>
      <c r="B7" s="36" t="s">
        <v>182</v>
      </c>
      <c r="C7" s="36" t="s">
        <v>225</v>
      </c>
      <c r="D7" s="24" t="n">
        <v>1.21</v>
      </c>
      <c r="E7" s="37" t="n">
        <f aca="false">MarkupPct</f>
        <v>0.3</v>
      </c>
      <c r="F7" s="38" t="n">
        <f aca="false">D7*(1+E7)</f>
        <v>1.573</v>
      </c>
      <c r="G7" s="7" t="s">
        <v>226</v>
      </c>
      <c r="H7" s="8" t="s">
        <v>229</v>
      </c>
    </row>
    <row r="8" customFormat="false" ht="15" hidden="false" customHeight="false" outlineLevel="0" collapsed="false">
      <c r="A8" s="13" t="s">
        <v>230</v>
      </c>
      <c r="B8" s="36" t="s">
        <v>184</v>
      </c>
      <c r="C8" s="36" t="s">
        <v>225</v>
      </c>
      <c r="D8" s="24" t="n">
        <v>1.17</v>
      </c>
      <c r="E8" s="37" t="n">
        <f aca="false">MarkupPct</f>
        <v>0.3</v>
      </c>
      <c r="F8" s="38" t="n">
        <f aca="false">D8*(1+E8)</f>
        <v>1.521</v>
      </c>
      <c r="G8" s="7" t="s">
        <v>226</v>
      </c>
      <c r="H8" s="8" t="s">
        <v>231</v>
      </c>
    </row>
    <row r="9" customFormat="false" ht="15" hidden="false" customHeight="false" outlineLevel="0" collapsed="false">
      <c r="A9" s="13" t="s">
        <v>232</v>
      </c>
      <c r="B9" s="36" t="s">
        <v>186</v>
      </c>
      <c r="C9" s="36" t="s">
        <v>225</v>
      </c>
      <c r="D9" s="24" t="n">
        <v>1.13</v>
      </c>
      <c r="E9" s="37" t="n">
        <f aca="false">MarkupPct</f>
        <v>0.3</v>
      </c>
      <c r="F9" s="38" t="n">
        <f aca="false">D9*(1+E9)</f>
        <v>1.469</v>
      </c>
      <c r="G9" s="7" t="s">
        <v>226</v>
      </c>
      <c r="H9" s="8" t="s">
        <v>233</v>
      </c>
    </row>
    <row r="10" customFormat="false" ht="15" hidden="false" customHeight="false" outlineLevel="0" collapsed="false">
      <c r="A10" s="13" t="s">
        <v>234</v>
      </c>
      <c r="B10" s="36" t="s">
        <v>189</v>
      </c>
      <c r="C10" s="36" t="s">
        <v>225</v>
      </c>
      <c r="D10" s="24" t="n">
        <v>1.22</v>
      </c>
      <c r="E10" s="37" t="n">
        <f aca="false">MarkupPct</f>
        <v>0.3</v>
      </c>
      <c r="F10" s="38" t="n">
        <f aca="false">D10*(1+E10)</f>
        <v>1.586</v>
      </c>
      <c r="G10" s="7" t="s">
        <v>235</v>
      </c>
      <c r="H10" s="8" t="s">
        <v>233</v>
      </c>
    </row>
    <row r="11" customFormat="false" ht="15" hidden="false" customHeight="false" outlineLevel="0" collapsed="false">
      <c r="A11" s="13" t="s">
        <v>236</v>
      </c>
      <c r="B11" s="36" t="s">
        <v>191</v>
      </c>
      <c r="C11" s="36" t="s">
        <v>225</v>
      </c>
      <c r="D11" s="24" t="n">
        <v>1.2</v>
      </c>
      <c r="E11" s="37" t="n">
        <f aca="false">MarkupPct</f>
        <v>0.3</v>
      </c>
      <c r="F11" s="38" t="n">
        <f aca="false">D11*(1+E11)</f>
        <v>1.56</v>
      </c>
      <c r="G11" s="7" t="s">
        <v>235</v>
      </c>
      <c r="H11" s="8" t="s">
        <v>237</v>
      </c>
    </row>
    <row r="12" customFormat="false" ht="15" hidden="false" customHeight="false" outlineLevel="0" collapsed="false">
      <c r="A12" s="13" t="s">
        <v>238</v>
      </c>
      <c r="B12" s="36" t="s">
        <v>192</v>
      </c>
      <c r="C12" s="36" t="s">
        <v>225</v>
      </c>
      <c r="D12" s="24" t="n">
        <v>1.89</v>
      </c>
      <c r="E12" s="37" t="n">
        <f aca="false">MarkupPct</f>
        <v>0.3</v>
      </c>
      <c r="F12" s="38" t="n">
        <f aca="false">D12*(1+E12)</f>
        <v>2.457</v>
      </c>
      <c r="G12" s="7" t="s">
        <v>239</v>
      </c>
      <c r="H12" s="8" t="s">
        <v>240</v>
      </c>
    </row>
    <row r="13" customFormat="false" ht="15" hidden="false" customHeight="false" outlineLevel="0" collapsed="false">
      <c r="A13" s="13" t="s">
        <v>241</v>
      </c>
      <c r="B13" s="36" t="s">
        <v>193</v>
      </c>
      <c r="C13" s="36" t="s">
        <v>225</v>
      </c>
      <c r="D13" s="24" t="n">
        <v>1.89</v>
      </c>
      <c r="E13" s="37" t="n">
        <f aca="false">MarkupPct</f>
        <v>0.3</v>
      </c>
      <c r="F13" s="38" t="n">
        <f aca="false">D13*(1+E13)</f>
        <v>2.457</v>
      </c>
      <c r="G13" s="7" t="s">
        <v>239</v>
      </c>
      <c r="H13" s="8" t="s">
        <v>240</v>
      </c>
    </row>
    <row r="14" customFormat="false" ht="15" hidden="false" customHeight="false" outlineLevel="0" collapsed="false">
      <c r="A14" s="13" t="s">
        <v>242</v>
      </c>
      <c r="B14" s="36" t="s">
        <v>194</v>
      </c>
      <c r="C14" s="36" t="s">
        <v>225</v>
      </c>
      <c r="D14" s="24" t="n">
        <v>1.89</v>
      </c>
      <c r="E14" s="37" t="n">
        <f aca="false">MarkupPct</f>
        <v>0.3</v>
      </c>
      <c r="F14" s="38" t="n">
        <f aca="false">D14*(1+E14)</f>
        <v>2.457</v>
      </c>
      <c r="G14" s="7" t="s">
        <v>239</v>
      </c>
      <c r="H14" s="8" t="s">
        <v>243</v>
      </c>
    </row>
    <row r="15" customFormat="false" ht="15" hidden="false" customHeight="false" outlineLevel="0" collapsed="false">
      <c r="A15" s="39" t="s">
        <v>244</v>
      </c>
      <c r="B15" s="36" t="s">
        <v>197</v>
      </c>
      <c r="C15" s="36" t="s">
        <v>225</v>
      </c>
      <c r="D15" s="24" t="n">
        <v>6</v>
      </c>
      <c r="E15" s="37" t="n">
        <f aca="false">MarkupPct</f>
        <v>0.3</v>
      </c>
      <c r="F15" s="38" t="n">
        <f aca="false">D15*(1+E15)</f>
        <v>7.8</v>
      </c>
      <c r="G15" s="7" t="s">
        <v>245</v>
      </c>
      <c r="H15" s="8" t="s">
        <v>246</v>
      </c>
    </row>
    <row r="16" customFormat="false" ht="15" hidden="false" customHeight="false" outlineLevel="0" collapsed="false">
      <c r="A16" s="39" t="s">
        <v>247</v>
      </c>
      <c r="B16" s="36" t="s">
        <v>182</v>
      </c>
      <c r="C16" s="36" t="s">
        <v>225</v>
      </c>
      <c r="D16" s="24" t="n">
        <v>6</v>
      </c>
      <c r="E16" s="37" t="n">
        <f aca="false">MarkupPct</f>
        <v>0.3</v>
      </c>
      <c r="F16" s="38" t="n">
        <f aca="false">D16*(1+E16)</f>
        <v>7.8</v>
      </c>
      <c r="G16" s="7" t="s">
        <v>245</v>
      </c>
      <c r="H16" s="8" t="s">
        <v>248</v>
      </c>
    </row>
    <row r="17" customFormat="false" ht="15" hidden="false" customHeight="false" outlineLevel="0" collapsed="false">
      <c r="A17" s="39" t="s">
        <v>249</v>
      </c>
      <c r="B17" s="36" t="s">
        <v>200</v>
      </c>
      <c r="C17" s="36" t="s">
        <v>225</v>
      </c>
      <c r="D17" s="24" t="n">
        <v>6</v>
      </c>
      <c r="E17" s="37" t="n">
        <f aca="false">MarkupPct</f>
        <v>0.3</v>
      </c>
      <c r="F17" s="38" t="n">
        <f aca="false">D17*(1+E17)</f>
        <v>7.8</v>
      </c>
      <c r="G17" s="7" t="s">
        <v>245</v>
      </c>
      <c r="H17" s="8" t="s">
        <v>248</v>
      </c>
    </row>
    <row r="18" customFormat="false" ht="15" hidden="false" customHeight="false" outlineLevel="0" collapsed="false">
      <c r="A18" s="39" t="s">
        <v>250</v>
      </c>
      <c r="B18" s="36" t="s">
        <v>189</v>
      </c>
      <c r="C18" s="36" t="s">
        <v>225</v>
      </c>
      <c r="D18" s="24" t="n">
        <v>6</v>
      </c>
      <c r="E18" s="37" t="n">
        <f aca="false">MarkupPct</f>
        <v>0.3</v>
      </c>
      <c r="F18" s="38" t="n">
        <f aca="false">D18*(1+E18)</f>
        <v>7.8</v>
      </c>
      <c r="G18" s="7" t="s">
        <v>245</v>
      </c>
      <c r="H18" s="8" t="s">
        <v>248</v>
      </c>
    </row>
    <row r="20" customFormat="false" ht="19.5" hidden="false" customHeight="true" outlineLevel="0" collapsed="false">
      <c r="A20" s="3" t="s">
        <v>251</v>
      </c>
      <c r="B20" s="3"/>
      <c r="C20" s="3"/>
      <c r="D20" s="3"/>
      <c r="E20" s="3"/>
      <c r="F20" s="3"/>
      <c r="G20" s="3"/>
      <c r="H20" s="3"/>
    </row>
    <row r="21" customFormat="false" ht="27.75" hidden="false" customHeight="true" outlineLevel="0" collapsed="false">
      <c r="A21" s="4" t="s">
        <v>170</v>
      </c>
      <c r="B21" s="4" t="s">
        <v>252</v>
      </c>
      <c r="C21" s="4" t="s">
        <v>5</v>
      </c>
      <c r="D21" s="4" t="s">
        <v>253</v>
      </c>
      <c r="E21" s="4" t="s">
        <v>10</v>
      </c>
      <c r="F21" s="4" t="s">
        <v>254</v>
      </c>
      <c r="G21" s="4"/>
      <c r="H21" s="4" t="s">
        <v>6</v>
      </c>
    </row>
    <row r="22" customFormat="false" ht="15" hidden="false" customHeight="false" outlineLevel="0" collapsed="false">
      <c r="A22" s="13" t="s">
        <v>255</v>
      </c>
      <c r="B22" s="36" t="s">
        <v>256</v>
      </c>
      <c r="C22" s="36" t="s">
        <v>257</v>
      </c>
      <c r="D22" s="35" t="n">
        <v>71.41</v>
      </c>
      <c r="E22" s="37" t="n">
        <f aca="false">MarkupPct</f>
        <v>0.3</v>
      </c>
      <c r="F22" s="40" t="n">
        <f aca="false">D22*(1+E22)</f>
        <v>92.833</v>
      </c>
      <c r="H22" s="8" t="s">
        <v>258</v>
      </c>
    </row>
    <row r="24" customFormat="false" ht="19.5" hidden="false" customHeight="true" outlineLevel="0" collapsed="false">
      <c r="A24" s="3" t="s">
        <v>259</v>
      </c>
      <c r="B24" s="3"/>
      <c r="C24" s="3"/>
      <c r="D24" s="3"/>
      <c r="E24" s="3"/>
      <c r="F24" s="3"/>
      <c r="G24" s="3"/>
      <c r="H24" s="3"/>
    </row>
    <row r="25" customFormat="false" ht="27.75" hidden="false" customHeight="true" outlineLevel="0" collapsed="false">
      <c r="A25" s="4" t="s">
        <v>170</v>
      </c>
      <c r="B25" s="4" t="s">
        <v>252</v>
      </c>
      <c r="C25" s="4" t="s">
        <v>5</v>
      </c>
      <c r="D25" s="4" t="s">
        <v>260</v>
      </c>
      <c r="E25" s="4" t="s">
        <v>10</v>
      </c>
      <c r="F25" s="4" t="s">
        <v>261</v>
      </c>
      <c r="G25" s="4"/>
      <c r="H25" s="4" t="s">
        <v>6</v>
      </c>
    </row>
    <row r="26" customFormat="false" ht="15" hidden="false" customHeight="false" outlineLevel="0" collapsed="false">
      <c r="A26" s="13" t="s">
        <v>262</v>
      </c>
      <c r="B26" s="36" t="s">
        <v>263</v>
      </c>
      <c r="C26" s="36" t="s">
        <v>225</v>
      </c>
      <c r="D26" s="41" t="n">
        <f aca="false">WirePrice</f>
        <v>16.1966</v>
      </c>
      <c r="E26" s="37" t="n">
        <f aca="false">MarkupPct</f>
        <v>0.3</v>
      </c>
      <c r="F26" s="38" t="n">
        <f aca="false">D26*(1+E26)</f>
        <v>21.05558</v>
      </c>
      <c r="H26" s="8" t="s">
        <v>82</v>
      </c>
    </row>
    <row r="28" customFormat="false" ht="19.5" hidden="false" customHeight="true" outlineLevel="0" collapsed="false">
      <c r="A28" s="3" t="s">
        <v>264</v>
      </c>
      <c r="B28" s="3"/>
      <c r="C28" s="3"/>
      <c r="D28" s="3"/>
      <c r="E28" s="3"/>
      <c r="F28" s="3"/>
      <c r="G28" s="3"/>
      <c r="H28" s="3"/>
    </row>
    <row r="29" customFormat="false" ht="27.75" hidden="false" customHeight="true" outlineLevel="0" collapsed="false">
      <c r="A29" s="4" t="s">
        <v>204</v>
      </c>
      <c r="B29" s="4" t="s">
        <v>265</v>
      </c>
      <c r="C29" s="4" t="s">
        <v>266</v>
      </c>
      <c r="D29" s="4" t="s">
        <v>267</v>
      </c>
      <c r="E29" s="4" t="s">
        <v>268</v>
      </c>
      <c r="F29" s="4" t="s">
        <v>269</v>
      </c>
      <c r="G29" s="4" t="s">
        <v>270</v>
      </c>
      <c r="H29" s="4" t="s">
        <v>6</v>
      </c>
    </row>
    <row r="30" customFormat="false" ht="15" hidden="false" customHeight="false" outlineLevel="0" collapsed="false">
      <c r="A30" s="42" t="s">
        <v>271</v>
      </c>
      <c r="B30" s="14" t="s">
        <v>272</v>
      </c>
      <c r="C30" s="43" t="n">
        <v>1</v>
      </c>
      <c r="D30" s="44" t="n">
        <v>0</v>
      </c>
      <c r="E30" s="45" t="n">
        <f aca="false">D30/FX</f>
        <v>0</v>
      </c>
      <c r="F30" s="46" t="n">
        <f aca="false">C30*E30</f>
        <v>0</v>
      </c>
      <c r="G30" s="47" t="n">
        <f aca="false">F30*(1+MarkupPct)</f>
        <v>0</v>
      </c>
      <c r="H30" s="48" t="s">
        <v>273</v>
      </c>
    </row>
    <row r="31" customFormat="false" ht="15" hidden="false" customHeight="false" outlineLevel="0" collapsed="false">
      <c r="A31" s="42" t="s">
        <v>271</v>
      </c>
      <c r="B31" s="14" t="s">
        <v>272</v>
      </c>
      <c r="C31" s="43" t="n">
        <v>1</v>
      </c>
      <c r="D31" s="44" t="n">
        <v>0</v>
      </c>
      <c r="E31" s="45" t="n">
        <f aca="false">D31/FX</f>
        <v>0</v>
      </c>
      <c r="F31" s="46" t="n">
        <f aca="false">C31*E31</f>
        <v>0</v>
      </c>
      <c r="G31" s="47" t="n">
        <f aca="false">F31*(1+MarkupPct)</f>
        <v>0</v>
      </c>
      <c r="H31" s="48" t="s">
        <v>273</v>
      </c>
    </row>
    <row r="33" customFormat="false" ht="15" hidden="false" customHeight="false" outlineLevel="0" collapsed="false">
      <c r="A33" s="13" t="s">
        <v>274</v>
      </c>
      <c r="F33" s="46" t="n">
        <f aca="false">SUM(F30:F31)</f>
        <v>0</v>
      </c>
      <c r="G33" s="47" t="n">
        <f aca="false">SUM(G30:G31)</f>
        <v>0</v>
      </c>
    </row>
  </sheetData>
  <mergeCells count="6">
    <mergeCell ref="A1:H1"/>
    <mergeCell ref="A2:H2"/>
    <mergeCell ref="A4:H4"/>
    <mergeCell ref="A20:H20"/>
    <mergeCell ref="A24:H24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49" t="s">
        <v>276</v>
      </c>
      <c r="B2" s="49"/>
      <c r="C2" s="49"/>
      <c r="D2" s="49"/>
      <c r="E2" s="49"/>
      <c r="F2" s="49"/>
      <c r="G2" s="49"/>
      <c r="H2" s="49"/>
      <c r="I2" s="49"/>
    </row>
    <row r="4" customFormat="false" ht="21.75" hidden="false" customHeight="true" outlineLevel="0" collapsed="false">
      <c r="A4" s="50" t="s">
        <v>277</v>
      </c>
      <c r="B4" s="50"/>
      <c r="C4" s="50"/>
      <c r="D4" s="50"/>
      <c r="E4" s="50"/>
      <c r="F4" s="50"/>
      <c r="G4" s="50"/>
      <c r="H4" s="50"/>
      <c r="I4" s="50"/>
    </row>
    <row r="6" customFormat="false" ht="18" hidden="false" customHeight="true" outlineLevel="0" collapsed="false">
      <c r="A6" s="51" t="s">
        <v>278</v>
      </c>
      <c r="B6" s="51"/>
      <c r="C6" s="51"/>
      <c r="D6" s="51"/>
      <c r="E6" s="51"/>
      <c r="F6" s="51"/>
      <c r="G6" s="51"/>
      <c r="H6" s="51"/>
      <c r="I6" s="51"/>
    </row>
    <row r="7" customFormat="false" ht="30" hidden="false" customHeight="true" outlineLevel="0" collapsed="false">
      <c r="A7" s="4" t="s">
        <v>88</v>
      </c>
      <c r="B7" s="4"/>
      <c r="C7" s="4" t="s">
        <v>279</v>
      </c>
      <c r="D7" s="4" t="s">
        <v>280</v>
      </c>
      <c r="E7" s="4" t="s">
        <v>281</v>
      </c>
      <c r="F7" s="4"/>
      <c r="G7" s="4" t="s">
        <v>282</v>
      </c>
      <c r="H7" s="4"/>
      <c r="I7" s="4" t="s">
        <v>283</v>
      </c>
    </row>
    <row r="8" customFormat="false" ht="15" hidden="false" customHeight="false" outlineLevel="0" collapsed="false">
      <c r="A8" s="5" t="s">
        <v>105</v>
      </c>
      <c r="B8" s="8" t="s">
        <v>284</v>
      </c>
      <c r="C8" s="52" t="n">
        <f aca="false">C69</f>
        <v>0</v>
      </c>
      <c r="D8" s="16" t="n">
        <f aca="false">R_LAS_01_Int</f>
        <v>162</v>
      </c>
      <c r="E8" s="46" t="n">
        <f aca="false">F69</f>
        <v>0</v>
      </c>
      <c r="G8" s="16" t="n">
        <f aca="false">R_LAS_01_Quot</f>
        <v>210.6</v>
      </c>
      <c r="I8" s="47" t="n">
        <f aca="false">H69</f>
        <v>0</v>
      </c>
    </row>
    <row r="9" customFormat="false" ht="15" hidden="false" customHeight="false" outlineLevel="0" collapsed="false">
      <c r="A9" s="5" t="s">
        <v>285</v>
      </c>
      <c r="B9" s="8" t="s">
        <v>286</v>
      </c>
      <c r="C9" s="53" t="n">
        <v>0</v>
      </c>
      <c r="D9" s="16" t="n">
        <f aca="false">R_LAS_01_Int</f>
        <v>162</v>
      </c>
      <c r="E9" s="54" t="n">
        <v>0</v>
      </c>
      <c r="G9" s="16" t="n">
        <f aca="false">R_LAS_01_Quot</f>
        <v>210.6</v>
      </c>
      <c r="I9" s="55" t="n">
        <v>0</v>
      </c>
    </row>
    <row r="10" customFormat="false" ht="15" hidden="false" customHeight="false" outlineLevel="0" collapsed="false">
      <c r="A10" s="5" t="s">
        <v>120</v>
      </c>
      <c r="B10" s="8" t="s">
        <v>287</v>
      </c>
      <c r="C10" s="52" t="n">
        <f aca="false">C70</f>
        <v>0</v>
      </c>
      <c r="D10" s="16" t="n">
        <f aca="false">R_BRK_Int</f>
        <v>60</v>
      </c>
      <c r="E10" s="46" t="n">
        <f aca="false">F70</f>
        <v>0</v>
      </c>
      <c r="G10" s="16" t="n">
        <f aca="false">R_BRK_Quot</f>
        <v>78</v>
      </c>
      <c r="I10" s="47" t="n">
        <f aca="false">H70</f>
        <v>0</v>
      </c>
    </row>
    <row r="11" customFormat="false" ht="15" hidden="false" customHeight="false" outlineLevel="0" collapsed="false">
      <c r="A11" s="5" t="s">
        <v>288</v>
      </c>
      <c r="B11" s="8" t="s">
        <v>289</v>
      </c>
      <c r="C11" s="53" t="n">
        <v>0</v>
      </c>
      <c r="D11" s="16" t="n">
        <f aca="false">R_BRK_Int</f>
        <v>60</v>
      </c>
      <c r="E11" s="54" t="n">
        <v>0</v>
      </c>
      <c r="G11" s="16" t="n">
        <f aca="false">R_BRK_Quot</f>
        <v>78</v>
      </c>
      <c r="I11" s="55" t="n">
        <v>0</v>
      </c>
    </row>
    <row r="12" customFormat="false" ht="15" hidden="false" customHeight="false" outlineLevel="0" collapsed="false">
      <c r="A12" s="5" t="s">
        <v>113</v>
      </c>
      <c r="B12" s="8" t="s">
        <v>290</v>
      </c>
      <c r="C12" s="52" t="n">
        <f aca="false">C71</f>
        <v>0</v>
      </c>
      <c r="D12" s="16" t="n">
        <f aca="false">R_OBRADA_Int</f>
        <v>25</v>
      </c>
      <c r="E12" s="46" t="n">
        <f aca="false">F71</f>
        <v>0</v>
      </c>
      <c r="G12" s="16" t="n">
        <f aca="false">R_OBRADA_Quot</f>
        <v>32.5</v>
      </c>
      <c r="I12" s="47" t="n">
        <f aca="false">H71</f>
        <v>0</v>
      </c>
    </row>
    <row r="13" customFormat="false" ht="15" hidden="false" customHeight="false" outlineLevel="0" collapsed="false">
      <c r="A13" s="5" t="s">
        <v>118</v>
      </c>
      <c r="B13" s="8" t="s">
        <v>291</v>
      </c>
      <c r="C13" s="53" t="n">
        <v>0</v>
      </c>
      <c r="D13" s="16" t="n">
        <f aca="false">R_OBRADA_Int</f>
        <v>25</v>
      </c>
      <c r="E13" s="54" t="n">
        <v>0</v>
      </c>
      <c r="G13" s="16" t="n">
        <f aca="false">R_OBRADA_Quot</f>
        <v>32.5</v>
      </c>
      <c r="I13" s="55" t="n">
        <v>0</v>
      </c>
    </row>
    <row r="14" customFormat="false" ht="15" hidden="false" customHeight="false" outlineLevel="0" collapsed="false">
      <c r="A14" s="5" t="s">
        <v>292</v>
      </c>
      <c r="B14" s="8" t="s">
        <v>293</v>
      </c>
      <c r="C14" s="53" t="n">
        <v>0</v>
      </c>
      <c r="D14" s="16" t="n">
        <f aca="false">R_OBRADA_Int</f>
        <v>25</v>
      </c>
      <c r="E14" s="54" t="n">
        <v>0</v>
      </c>
      <c r="G14" s="16" t="n">
        <f aca="false">R_OBRADA_Quot</f>
        <v>32.5</v>
      </c>
      <c r="I14" s="55" t="n">
        <v>0</v>
      </c>
    </row>
    <row r="15" customFormat="false" ht="15" hidden="false" customHeight="false" outlineLevel="0" collapsed="false">
      <c r="A15" s="5" t="s">
        <v>124</v>
      </c>
      <c r="B15" s="8" t="s">
        <v>294</v>
      </c>
      <c r="C15" s="52" t="n">
        <f aca="false">C78</f>
        <v>0</v>
      </c>
      <c r="D15" s="16" t="n">
        <f aca="false">R_OBRADA_Int</f>
        <v>25</v>
      </c>
      <c r="E15" s="46" t="n">
        <f aca="false">F78</f>
        <v>0</v>
      </c>
      <c r="G15" s="16" t="n">
        <f aca="false">R_OBRADA_Quot</f>
        <v>32.5</v>
      </c>
      <c r="I15" s="47" t="n">
        <f aca="false">H78</f>
        <v>0</v>
      </c>
    </row>
    <row r="16" customFormat="false" ht="15" hidden="false" customHeight="false" outlineLevel="0" collapsed="false">
      <c r="A16" s="5" t="s">
        <v>47</v>
      </c>
      <c r="B16" s="8" t="s">
        <v>295</v>
      </c>
      <c r="C16" s="52" t="n">
        <f aca="false">C72</f>
        <v>0</v>
      </c>
      <c r="D16" s="16" t="n">
        <f aca="false">R_DEBURR_Int</f>
        <v>22</v>
      </c>
      <c r="E16" s="46" t="n">
        <f aca="false">F72</f>
        <v>0</v>
      </c>
      <c r="G16" s="16" t="n">
        <f aca="false">R_DEBURR_Quot</f>
        <v>28.6</v>
      </c>
      <c r="I16" s="47" t="n">
        <f aca="false">H72</f>
        <v>0</v>
      </c>
    </row>
    <row r="17" customFormat="false" ht="15" hidden="false" customHeight="false" outlineLevel="0" collapsed="false">
      <c r="A17" s="5" t="s">
        <v>130</v>
      </c>
      <c r="B17" s="8" t="s">
        <v>296</v>
      </c>
      <c r="C17" s="52" t="n">
        <f aca="false">C76</f>
        <v>0</v>
      </c>
      <c r="D17" s="16" t="n">
        <f aca="false">R_FIXTURE_Int</f>
        <v>48</v>
      </c>
      <c r="E17" s="46" t="n">
        <f aca="false">F76</f>
        <v>0</v>
      </c>
      <c r="G17" s="16" t="n">
        <f aca="false">R_FIXTURE_Quot</f>
        <v>62.4</v>
      </c>
      <c r="I17" s="47" t="n">
        <f aca="false">H76</f>
        <v>0</v>
      </c>
    </row>
    <row r="18" customFormat="false" ht="15" hidden="false" customHeight="false" outlineLevel="0" collapsed="false">
      <c r="A18" s="5" t="s">
        <v>297</v>
      </c>
      <c r="B18" s="8" t="s">
        <v>298</v>
      </c>
      <c r="C18" s="52" t="n">
        <f aca="false">C77</f>
        <v>0</v>
      </c>
      <c r="D18" s="16" t="n">
        <f aca="false">R_WLD_Int</f>
        <v>50</v>
      </c>
      <c r="E18" s="46" t="n">
        <f aca="false">F77</f>
        <v>0</v>
      </c>
      <c r="G18" s="16" t="n">
        <f aca="false">R_WLD_Quot</f>
        <v>65</v>
      </c>
      <c r="I18" s="47" t="n">
        <f aca="false">H77</f>
        <v>0</v>
      </c>
    </row>
    <row r="19" customFormat="false" ht="15" hidden="false" customHeight="false" outlineLevel="0" collapsed="false">
      <c r="A19" s="5" t="s">
        <v>299</v>
      </c>
      <c r="B19" s="8" t="s">
        <v>300</v>
      </c>
      <c r="C19" s="53" t="n">
        <v>0</v>
      </c>
      <c r="D19" s="16" t="n">
        <f aca="false">R_FINISH_OH_Int</f>
        <v>25</v>
      </c>
      <c r="E19" s="54" t="n">
        <v>0</v>
      </c>
      <c r="G19" s="16" t="n">
        <f aca="false">R_FINISH_OH_Quot</f>
        <v>32.5</v>
      </c>
      <c r="I19" s="55" t="n">
        <v>0</v>
      </c>
    </row>
    <row r="20" customFormat="false" ht="15" hidden="false" customHeight="false" outlineLevel="0" collapsed="false">
      <c r="A20" s="5" t="s">
        <v>145</v>
      </c>
      <c r="B20" s="8" t="s">
        <v>301</v>
      </c>
      <c r="C20" s="53" t="n">
        <v>0</v>
      </c>
      <c r="D20" s="16" t="n">
        <f aca="false">LabourRate</f>
        <v>18</v>
      </c>
      <c r="E20" s="54" t="n">
        <v>0</v>
      </c>
      <c r="G20" s="16" t="n">
        <f aca="false">LabourRate*(1+MarkupPct)</f>
        <v>23.4</v>
      </c>
      <c r="I20" s="55" t="n">
        <v>0</v>
      </c>
    </row>
    <row r="21" customFormat="false" ht="15" hidden="false" customHeight="false" outlineLevel="0" collapsed="false">
      <c r="A21" s="5" t="s">
        <v>302</v>
      </c>
      <c r="B21" s="8" t="s">
        <v>303</v>
      </c>
      <c r="C21" s="52" t="n">
        <f aca="false">C73</f>
        <v>0</v>
      </c>
      <c r="D21" s="16" t="n">
        <f aca="false">R_FINISH_OH_Int</f>
        <v>25</v>
      </c>
      <c r="E21" s="46" t="n">
        <f aca="false">F73</f>
        <v>0</v>
      </c>
      <c r="G21" s="16" t="n">
        <f aca="false">R_FINISH_OH_Quot</f>
        <v>32.5</v>
      </c>
      <c r="I21" s="47" t="n">
        <f aca="false">H73</f>
        <v>0</v>
      </c>
    </row>
    <row r="22" customFormat="false" ht="15" hidden="false" customHeight="false" outlineLevel="0" collapsed="false">
      <c r="A22" s="5" t="s">
        <v>153</v>
      </c>
      <c r="B22" s="8" t="s">
        <v>304</v>
      </c>
      <c r="C22" s="53" t="n">
        <v>0</v>
      </c>
      <c r="D22" s="16" t="n">
        <f aca="false">R_FINISH_OH_Int</f>
        <v>25</v>
      </c>
      <c r="E22" s="54" t="n">
        <v>0</v>
      </c>
      <c r="G22" s="16" t="n">
        <f aca="false">R_FINISH_OH_Quot</f>
        <v>32.5</v>
      </c>
      <c r="I22" s="55" t="n">
        <v>0</v>
      </c>
    </row>
    <row r="23" customFormat="false" ht="15" hidden="false" customHeight="false" outlineLevel="0" collapsed="false">
      <c r="A23" s="5" t="s">
        <v>157</v>
      </c>
      <c r="B23" s="8" t="s">
        <v>305</v>
      </c>
      <c r="C23" s="52" t="n">
        <f aca="false">C74</f>
        <v>0</v>
      </c>
      <c r="D23" s="16" t="n">
        <f aca="false">R_FINISH_OH_Int</f>
        <v>25</v>
      </c>
      <c r="E23" s="46" t="n">
        <f aca="false">F74</f>
        <v>0</v>
      </c>
      <c r="G23" s="16" t="n">
        <f aca="false">R_FINISH_OH_Quot</f>
        <v>32.5</v>
      </c>
      <c r="I23" s="47" t="n">
        <f aca="false">H74</f>
        <v>0</v>
      </c>
    </row>
    <row r="24" customFormat="false" ht="15" hidden="false" customHeight="false" outlineLevel="0" collapsed="false">
      <c r="A24" s="5" t="s">
        <v>159</v>
      </c>
      <c r="B24" s="8" t="s">
        <v>306</v>
      </c>
      <c r="C24" s="53" t="n">
        <v>0</v>
      </c>
      <c r="D24" s="16" t="n">
        <f aca="false">R_QC_EQUIP_Int</f>
        <v>40</v>
      </c>
      <c r="E24" s="54" t="n">
        <v>0</v>
      </c>
      <c r="G24" s="16" t="n">
        <f aca="false">R_QC_EQUIP_Quot</f>
        <v>52</v>
      </c>
      <c r="I24" s="55" t="n">
        <v>0</v>
      </c>
    </row>
    <row r="25" customFormat="false" ht="15" hidden="false" customHeight="false" outlineLevel="0" collapsed="false">
      <c r="A25" s="5" t="s">
        <v>307</v>
      </c>
      <c r="B25" s="8" t="s">
        <v>308</v>
      </c>
      <c r="C25" s="53" t="n">
        <v>0</v>
      </c>
      <c r="D25" s="16" t="n">
        <f aca="false">R_QC_EQUIP_Int</f>
        <v>40</v>
      </c>
      <c r="E25" s="54" t="n">
        <v>0</v>
      </c>
      <c r="G25" s="16" t="n">
        <f aca="false">R_QC_EQUIP_Quot</f>
        <v>52</v>
      </c>
      <c r="I25" s="55" t="n">
        <v>0</v>
      </c>
    </row>
    <row r="26" customFormat="false" ht="15" hidden="false" customHeight="false" outlineLevel="0" collapsed="false">
      <c r="A26" s="5" t="s">
        <v>165</v>
      </c>
      <c r="B26" s="8" t="s">
        <v>309</v>
      </c>
      <c r="C26" s="53" t="n">
        <v>0</v>
      </c>
      <c r="D26" s="16" t="n">
        <f aca="false">R_LOG_OH_Int</f>
        <v>22</v>
      </c>
      <c r="E26" s="54" t="n">
        <v>0</v>
      </c>
      <c r="G26" s="16" t="n">
        <f aca="false">R_LOG_OH_Quot</f>
        <v>28.6</v>
      </c>
      <c r="I26" s="55" t="n">
        <v>0</v>
      </c>
    </row>
    <row r="27" customFormat="false" ht="15" hidden="false" customHeight="false" outlineLevel="0" collapsed="false">
      <c r="A27" s="5" t="s">
        <v>168</v>
      </c>
      <c r="B27" s="8" t="s">
        <v>310</v>
      </c>
      <c r="C27" s="53" t="n">
        <v>0</v>
      </c>
      <c r="D27" s="16" t="n">
        <f aca="false">R_LOG_OH_Int</f>
        <v>22</v>
      </c>
      <c r="E27" s="54" t="n">
        <v>0</v>
      </c>
      <c r="G27" s="16" t="n">
        <f aca="false">R_LOG_OH_Quot</f>
        <v>28.6</v>
      </c>
      <c r="I27" s="55" t="n">
        <v>0</v>
      </c>
    </row>
    <row r="29" customFormat="false" ht="19.5" hidden="false" customHeight="true" outlineLevel="0" collapsed="false">
      <c r="A29" s="56" t="s">
        <v>311</v>
      </c>
      <c r="B29" s="57"/>
      <c r="C29" s="58" t="n">
        <f aca="false">SUM(C8:C27)</f>
        <v>0</v>
      </c>
      <c r="D29" s="57"/>
      <c r="E29" s="59" t="n">
        <f aca="false">SUM(E8:E27)</f>
        <v>0</v>
      </c>
      <c r="F29" s="57"/>
      <c r="G29" s="59" t="n">
        <f aca="false">E29</f>
        <v>0</v>
      </c>
      <c r="H29" s="57"/>
      <c r="I29" s="59" t="n">
        <f aca="false">SUM(I8:I27)</f>
        <v>0</v>
      </c>
    </row>
    <row r="31" customFormat="false" ht="18" hidden="false" customHeight="true" outlineLevel="0" collapsed="false">
      <c r="A31" s="51" t="s">
        <v>312</v>
      </c>
      <c r="B31" s="51"/>
      <c r="C31" s="51"/>
      <c r="D31" s="51"/>
      <c r="E31" s="51"/>
      <c r="F31" s="51"/>
      <c r="G31" s="51"/>
      <c r="H31" s="51"/>
      <c r="I31" s="51"/>
    </row>
    <row r="32" customFormat="false" ht="30" hidden="false" customHeight="true" outlineLevel="0" collapsed="false">
      <c r="A32" s="4" t="s">
        <v>170</v>
      </c>
      <c r="B32" s="4" t="s">
        <v>313</v>
      </c>
      <c r="C32" s="4" t="s">
        <v>314</v>
      </c>
      <c r="D32" s="4" t="s">
        <v>315</v>
      </c>
      <c r="E32" s="4" t="s">
        <v>316</v>
      </c>
      <c r="F32" s="4" t="s">
        <v>317</v>
      </c>
      <c r="G32" s="4" t="s">
        <v>281</v>
      </c>
      <c r="H32" s="4" t="s">
        <v>318</v>
      </c>
      <c r="I32" s="4" t="s">
        <v>283</v>
      </c>
    </row>
    <row r="33" customFormat="false" ht="15" hidden="false" customHeight="false" outlineLevel="0" collapsed="false">
      <c r="A33" s="5" t="s">
        <v>319</v>
      </c>
      <c r="B33" s="7" t="s">
        <v>320</v>
      </c>
      <c r="C33" s="60" t="n">
        <v>0</v>
      </c>
      <c r="D33" s="37" t="n">
        <f aca="false">NestingPct</f>
        <v>0.8</v>
      </c>
      <c r="E33" s="61" t="n">
        <f aca="false">C33/D33</f>
        <v>0</v>
      </c>
      <c r="F33" s="41" t="n">
        <f aca="false">P_S235JR_2mm_Cost</f>
        <v>1.24</v>
      </c>
      <c r="G33" s="46" t="n">
        <f aca="false">E33*F33</f>
        <v>0</v>
      </c>
      <c r="H33" s="41" t="n">
        <f aca="false">P_S235JR_2mm_Quot</f>
        <v>1.612</v>
      </c>
      <c r="I33" s="47" t="n">
        <f aca="false">E33*H33</f>
        <v>0</v>
      </c>
    </row>
    <row r="34" customFormat="false" ht="15" hidden="false" customHeight="false" outlineLevel="0" collapsed="false">
      <c r="A34" s="5" t="s">
        <v>321</v>
      </c>
      <c r="B34" s="7" t="s">
        <v>320</v>
      </c>
      <c r="C34" s="60" t="n">
        <v>0</v>
      </c>
      <c r="D34" s="37" t="n">
        <f aca="false">NestingPct</f>
        <v>0.8</v>
      </c>
      <c r="E34" s="61" t="n">
        <f aca="false">C34/D34</f>
        <v>0</v>
      </c>
      <c r="F34" s="41" t="n">
        <f aca="false">P_S235JR_3mm_Cost</f>
        <v>1.21</v>
      </c>
      <c r="G34" s="46" t="n">
        <f aca="false">E34*F34</f>
        <v>0</v>
      </c>
      <c r="H34" s="41" t="n">
        <f aca="false">P_S235JR_3mm_Quot</f>
        <v>1.573</v>
      </c>
      <c r="I34" s="47" t="n">
        <f aca="false">E34*H34</f>
        <v>0</v>
      </c>
    </row>
    <row r="35" customFormat="false" ht="15" hidden="false" customHeight="false" outlineLevel="0" collapsed="false">
      <c r="A35" s="5" t="s">
        <v>322</v>
      </c>
      <c r="B35" s="7" t="s">
        <v>320</v>
      </c>
      <c r="C35" s="60" t="n">
        <v>0</v>
      </c>
      <c r="D35" s="37" t="n">
        <f aca="false">NestingPct</f>
        <v>0.8</v>
      </c>
      <c r="E35" s="61" t="n">
        <f aca="false">C35/D35</f>
        <v>0</v>
      </c>
      <c r="F35" s="41" t="n">
        <f aca="false">P_S235JR_5mm_Cost</f>
        <v>1.17</v>
      </c>
      <c r="G35" s="46" t="n">
        <f aca="false">E35*F35</f>
        <v>0</v>
      </c>
      <c r="H35" s="41" t="n">
        <f aca="false">P_S235JR_5mm_Quot</f>
        <v>1.521</v>
      </c>
      <c r="I35" s="47" t="n">
        <f aca="false">E35*H35</f>
        <v>0</v>
      </c>
    </row>
    <row r="36" customFormat="false" ht="15" hidden="false" customHeight="false" outlineLevel="0" collapsed="false">
      <c r="A36" s="5" t="s">
        <v>323</v>
      </c>
      <c r="B36" s="7" t="s">
        <v>320</v>
      </c>
      <c r="C36" s="60" t="n">
        <v>0</v>
      </c>
      <c r="D36" s="37" t="n">
        <f aca="false">NestingPct</f>
        <v>0.8</v>
      </c>
      <c r="E36" s="61" t="n">
        <f aca="false">C36/D36</f>
        <v>0</v>
      </c>
      <c r="F36" s="41" t="n">
        <f aca="false">P_S235JR_8mm_Cost</f>
        <v>1.13</v>
      </c>
      <c r="G36" s="46" t="n">
        <f aca="false">E36*F36</f>
        <v>0</v>
      </c>
      <c r="H36" s="41" t="n">
        <f aca="false">P_S235JR_8mm_Quot</f>
        <v>1.469</v>
      </c>
      <c r="I36" s="47" t="n">
        <f aca="false">E36*H36</f>
        <v>0</v>
      </c>
    </row>
    <row r="37" customFormat="false" ht="15" hidden="false" customHeight="false" outlineLevel="0" collapsed="false">
      <c r="A37" s="5" t="s">
        <v>324</v>
      </c>
      <c r="B37" s="7" t="s">
        <v>325</v>
      </c>
      <c r="C37" s="60" t="n">
        <v>0</v>
      </c>
      <c r="D37" s="37" t="n">
        <f aca="false">NestingPct</f>
        <v>0.8</v>
      </c>
      <c r="E37" s="61" t="n">
        <f aca="false">C37/D37</f>
        <v>0</v>
      </c>
      <c r="F37" s="41" t="n">
        <f aca="false">P_S235JR_10mm_Cost</f>
        <v>1.22</v>
      </c>
      <c r="G37" s="46" t="n">
        <f aca="false">E37*F37</f>
        <v>0</v>
      </c>
      <c r="H37" s="41" t="n">
        <f aca="false">P_S235JR_10mm_Quot</f>
        <v>1.586</v>
      </c>
      <c r="I37" s="47" t="n">
        <f aca="false">E37*H37</f>
        <v>0</v>
      </c>
    </row>
    <row r="38" customFormat="false" ht="15" hidden="false" customHeight="false" outlineLevel="0" collapsed="false">
      <c r="A38" s="5" t="s">
        <v>326</v>
      </c>
      <c r="B38" s="7" t="s">
        <v>325</v>
      </c>
      <c r="C38" s="60" t="n">
        <v>0</v>
      </c>
      <c r="D38" s="37" t="n">
        <f aca="false">NestingPct</f>
        <v>0.8</v>
      </c>
      <c r="E38" s="61" t="n">
        <f aca="false">C38/D38</f>
        <v>0</v>
      </c>
      <c r="F38" s="41" t="n">
        <f aca="false">P_S235JR_12mm_Cost</f>
        <v>1.2</v>
      </c>
      <c r="G38" s="46" t="n">
        <f aca="false">E38*F38</f>
        <v>0</v>
      </c>
      <c r="H38" s="41" t="n">
        <f aca="false">P_S235JR_12mm_Quot</f>
        <v>1.56</v>
      </c>
      <c r="I38" s="47" t="n">
        <f aca="false">E38*H38</f>
        <v>0</v>
      </c>
    </row>
    <row r="39" customFormat="false" ht="15" hidden="false" customHeight="false" outlineLevel="0" collapsed="false">
      <c r="A39" s="5" t="s">
        <v>327</v>
      </c>
      <c r="B39" s="7" t="s">
        <v>328</v>
      </c>
      <c r="C39" s="60" t="n">
        <v>0</v>
      </c>
      <c r="D39" s="37" t="n">
        <f aca="false">NestingPct</f>
        <v>0.8</v>
      </c>
      <c r="E39" s="61" t="n">
        <f aca="false">C39/D39</f>
        <v>0</v>
      </c>
      <c r="F39" s="41" t="n">
        <f aca="false">P_S235JR_17mm_Cost</f>
        <v>1.89</v>
      </c>
      <c r="G39" s="46" t="n">
        <f aca="false">E39*F39</f>
        <v>0</v>
      </c>
      <c r="H39" s="41" t="n">
        <f aca="false">P_S235JR_17mm_Quot</f>
        <v>2.457</v>
      </c>
      <c r="I39" s="47" t="n">
        <f aca="false">E39*H39</f>
        <v>0</v>
      </c>
    </row>
    <row r="40" customFormat="false" ht="15" hidden="false" customHeight="false" outlineLevel="0" collapsed="false">
      <c r="A40" s="5" t="s">
        <v>329</v>
      </c>
      <c r="B40" s="7" t="s">
        <v>328</v>
      </c>
      <c r="C40" s="60" t="n">
        <v>0</v>
      </c>
      <c r="D40" s="37" t="n">
        <f aca="false">NestingPct</f>
        <v>0.8</v>
      </c>
      <c r="E40" s="61" t="n">
        <f aca="false">C40/D40</f>
        <v>0</v>
      </c>
      <c r="F40" s="41" t="n">
        <f aca="false">P_S235JR_25mm_Cost</f>
        <v>1.89</v>
      </c>
      <c r="G40" s="46" t="n">
        <f aca="false">E40*F40</f>
        <v>0</v>
      </c>
      <c r="H40" s="41" t="n">
        <f aca="false">P_S235JR_25mm_Quot</f>
        <v>2.457</v>
      </c>
      <c r="I40" s="47" t="n">
        <f aca="false">E40*H40</f>
        <v>0</v>
      </c>
    </row>
    <row r="41" customFormat="false" ht="15" hidden="false" customHeight="false" outlineLevel="0" collapsed="false">
      <c r="A41" s="5" t="s">
        <v>330</v>
      </c>
      <c r="B41" s="7" t="s">
        <v>328</v>
      </c>
      <c r="C41" s="60" t="n">
        <v>0</v>
      </c>
      <c r="D41" s="37" t="n">
        <f aca="false">NestingPct</f>
        <v>0.8</v>
      </c>
      <c r="E41" s="61" t="n">
        <f aca="false">C41/D41</f>
        <v>0</v>
      </c>
      <c r="F41" s="41" t="n">
        <f aca="false">P_S235JR_40mm_Cost</f>
        <v>1.89</v>
      </c>
      <c r="G41" s="46" t="n">
        <f aca="false">E41*F41</f>
        <v>0</v>
      </c>
      <c r="H41" s="41" t="n">
        <f aca="false">P_S235JR_40mm_Quot</f>
        <v>2.457</v>
      </c>
      <c r="I41" s="47" t="n">
        <f aca="false">E41*H41</f>
        <v>0</v>
      </c>
    </row>
    <row r="42" customFormat="false" ht="15" hidden="false" customHeight="false" outlineLevel="0" collapsed="false">
      <c r="A42" s="5" t="s">
        <v>331</v>
      </c>
      <c r="B42" s="7" t="s">
        <v>320</v>
      </c>
      <c r="C42" s="60" t="n">
        <v>0</v>
      </c>
      <c r="D42" s="37" t="n">
        <f aca="false">NestingPct</f>
        <v>0.8</v>
      </c>
      <c r="E42" s="61" t="n">
        <f aca="false">C42/D42</f>
        <v>0</v>
      </c>
      <c r="F42" s="41" t="n">
        <f aca="false">P_1_4404_1mm_Cost</f>
        <v>6</v>
      </c>
      <c r="G42" s="46" t="n">
        <f aca="false">E42*F42</f>
        <v>0</v>
      </c>
      <c r="H42" s="41" t="n">
        <f aca="false">P_1_4404_1mm_Quot</f>
        <v>7.8</v>
      </c>
      <c r="I42" s="47" t="n">
        <f aca="false">E42*H42</f>
        <v>0</v>
      </c>
    </row>
    <row r="43" customFormat="false" ht="15" hidden="false" customHeight="false" outlineLevel="0" collapsed="false">
      <c r="A43" s="5" t="s">
        <v>332</v>
      </c>
      <c r="B43" s="7" t="s">
        <v>320</v>
      </c>
      <c r="C43" s="60" t="n">
        <v>0</v>
      </c>
      <c r="D43" s="37" t="n">
        <f aca="false">NestingPct</f>
        <v>0.8</v>
      </c>
      <c r="E43" s="61" t="n">
        <f aca="false">C43/D43</f>
        <v>0</v>
      </c>
      <c r="F43" s="41" t="n">
        <f aca="false">P_1_4404_3mm_Cost</f>
        <v>6</v>
      </c>
      <c r="G43" s="46" t="n">
        <f aca="false">E43*F43</f>
        <v>0</v>
      </c>
      <c r="H43" s="41" t="n">
        <f aca="false">P_1_4404_3mm_Quot</f>
        <v>7.8</v>
      </c>
      <c r="I43" s="47" t="n">
        <f aca="false">E43*H43</f>
        <v>0</v>
      </c>
    </row>
    <row r="44" customFormat="false" ht="15" hidden="false" customHeight="false" outlineLevel="0" collapsed="false">
      <c r="A44" s="5" t="s">
        <v>333</v>
      </c>
      <c r="B44" s="7" t="s">
        <v>320</v>
      </c>
      <c r="C44" s="60" t="n">
        <v>0</v>
      </c>
      <c r="D44" s="37" t="n">
        <f aca="false">NestingPct</f>
        <v>0.8</v>
      </c>
      <c r="E44" s="61" t="n">
        <f aca="false">C44/D44</f>
        <v>0</v>
      </c>
      <c r="F44" s="41" t="n">
        <f aca="false">P_1_4404_6mm_Cost</f>
        <v>6</v>
      </c>
      <c r="G44" s="46" t="n">
        <f aca="false">E44*F44</f>
        <v>0</v>
      </c>
      <c r="H44" s="41" t="n">
        <f aca="false">P_1_4404_6mm_Quot</f>
        <v>7.8</v>
      </c>
      <c r="I44" s="47" t="n">
        <f aca="false">E44*H44</f>
        <v>0</v>
      </c>
    </row>
    <row r="45" customFormat="false" ht="15" hidden="false" customHeight="false" outlineLevel="0" collapsed="false">
      <c r="A45" s="5" t="s">
        <v>334</v>
      </c>
      <c r="B45" s="7" t="s">
        <v>325</v>
      </c>
      <c r="C45" s="60" t="n">
        <v>0</v>
      </c>
      <c r="D45" s="37" t="n">
        <f aca="false">NestingPct</f>
        <v>0.8</v>
      </c>
      <c r="E45" s="61" t="n">
        <f aca="false">C45/D45</f>
        <v>0</v>
      </c>
      <c r="F45" s="41" t="n">
        <f aca="false">P_1_4404_10mm_Cost</f>
        <v>6</v>
      </c>
      <c r="G45" s="46" t="n">
        <f aca="false">E45*F45</f>
        <v>0</v>
      </c>
      <c r="H45" s="41" t="n">
        <f aca="false">P_1_4404_10mm_Quot</f>
        <v>7.8</v>
      </c>
      <c r="I45" s="47" t="n">
        <f aca="false">E45*H45</f>
        <v>0</v>
      </c>
    </row>
    <row r="46" customFormat="false" ht="15" hidden="false" customHeight="false" outlineLevel="0" collapsed="false">
      <c r="A46" s="5" t="s">
        <v>255</v>
      </c>
      <c r="B46" s="7" t="s">
        <v>335</v>
      </c>
      <c r="C46" s="60" t="n">
        <v>0</v>
      </c>
      <c r="D46" s="37" t="n">
        <f aca="false">NestingPct</f>
        <v>0.8</v>
      </c>
      <c r="E46" s="61" t="n">
        <f aca="false">C46/D46</f>
        <v>0</v>
      </c>
      <c r="F46" s="41" t="n">
        <f aca="false">ArmaFlex_Cost</f>
        <v>71.41</v>
      </c>
      <c r="G46" s="46" t="n">
        <f aca="false">E46*F46</f>
        <v>0</v>
      </c>
      <c r="H46" s="41" t="n">
        <f aca="false">ArmaFlex_Quot</f>
        <v>92.833</v>
      </c>
      <c r="I46" s="47" t="n">
        <f aca="false">E46*H46</f>
        <v>0</v>
      </c>
    </row>
    <row r="47" customFormat="false" ht="15" hidden="false" customHeight="false" outlineLevel="0" collapsed="false">
      <c r="A47" s="5" t="s">
        <v>336</v>
      </c>
      <c r="B47" s="7" t="s">
        <v>337</v>
      </c>
      <c r="C47" s="62" t="n">
        <f aca="false">C18*WireRate</f>
        <v>0</v>
      </c>
      <c r="D47" s="14" t="s">
        <v>97</v>
      </c>
      <c r="E47" s="14" t="s">
        <v>97</v>
      </c>
      <c r="F47" s="41" t="n">
        <f aca="false">WirePrice</f>
        <v>16.1966</v>
      </c>
      <c r="G47" s="46" t="n">
        <f aca="false">C47*F47</f>
        <v>0</v>
      </c>
      <c r="H47" s="41" t="n">
        <f aca="false">WirePrice*(1+MarkupPct)</f>
        <v>21.05558</v>
      </c>
      <c r="I47" s="47" t="n">
        <f aca="false">C47*H47</f>
        <v>0</v>
      </c>
    </row>
    <row r="49" customFormat="false" ht="19.5" hidden="false" customHeight="true" outlineLevel="0" collapsed="false">
      <c r="A49" s="56" t="s">
        <v>338</v>
      </c>
      <c r="B49" s="57"/>
      <c r="C49" s="57"/>
      <c r="D49" s="57"/>
      <c r="E49" s="57"/>
      <c r="F49" s="57"/>
      <c r="G49" s="59" t="n">
        <f aca="false">SUM(G33:G47)</f>
        <v>0</v>
      </c>
      <c r="H49" s="57"/>
      <c r="I49" s="59" t="n">
        <f aca="false">SUM(I33:I47)</f>
        <v>0</v>
      </c>
    </row>
    <row r="51" customFormat="false" ht="18" hidden="false" customHeight="true" outlineLevel="0" collapsed="false">
      <c r="A51" s="51" t="s">
        <v>339</v>
      </c>
      <c r="B51" s="51"/>
      <c r="C51" s="51"/>
      <c r="D51" s="51"/>
      <c r="E51" s="51"/>
      <c r="F51" s="51"/>
      <c r="G51" s="51"/>
      <c r="H51" s="51"/>
      <c r="I51" s="51"/>
    </row>
    <row r="52" customFormat="false" ht="15" hidden="false" customHeight="false" outlineLevel="0" collapsed="false">
      <c r="A52" s="36" t="s">
        <v>340</v>
      </c>
      <c r="B52" s="8" t="s">
        <v>341</v>
      </c>
      <c r="G52" s="46" t="n">
        <f aca="false">ProcTot_Int</f>
        <v>0</v>
      </c>
      <c r="I52" s="47" t="n">
        <f aca="false">ProcTot_Quot</f>
        <v>0</v>
      </c>
    </row>
    <row r="53" customFormat="false" ht="19.5" hidden="false" customHeight="true" outlineLevel="0" collapsed="false">
      <c r="A53" s="56" t="s">
        <v>342</v>
      </c>
      <c r="B53" s="57"/>
      <c r="C53" s="57"/>
      <c r="D53" s="57"/>
      <c r="E53" s="57"/>
      <c r="F53" s="57"/>
      <c r="G53" s="59" t="n">
        <f aca="false">G52</f>
        <v>0</v>
      </c>
      <c r="H53" s="57"/>
      <c r="I53" s="59" t="n">
        <f aca="false">I52</f>
        <v>0</v>
      </c>
    </row>
    <row r="55" customFormat="false" ht="18" hidden="false" customHeight="true" outlineLevel="0" collapsed="false">
      <c r="A55" s="51" t="s">
        <v>343</v>
      </c>
      <c r="B55" s="51"/>
      <c r="C55" s="51"/>
      <c r="D55" s="51"/>
      <c r="E55" s="51"/>
      <c r="F55" s="51"/>
      <c r="G55" s="51"/>
      <c r="H55" s="51"/>
      <c r="I55" s="51"/>
    </row>
    <row r="56" customFormat="false" ht="15" hidden="false" customHeight="false" outlineLevel="0" collapsed="false">
      <c r="A56" s="5" t="s">
        <v>344</v>
      </c>
      <c r="B56" s="8" t="s">
        <v>345</v>
      </c>
      <c r="G56" s="46" t="n">
        <f aca="false">EngHours*LabourRate/OrderQty</f>
        <v>0</v>
      </c>
      <c r="I56" s="47" t="n">
        <f aca="false">EngHours*LabourRate*(1+MarkupPct)/OrderQty</f>
        <v>0</v>
      </c>
    </row>
    <row r="57" customFormat="false" ht="15" hidden="false" customHeight="false" outlineLevel="0" collapsed="false">
      <c r="A57" s="5" t="s">
        <v>346</v>
      </c>
      <c r="B57" s="8" t="s">
        <v>347</v>
      </c>
      <c r="G57" s="46" t="n">
        <f aca="false">FEM_EUR</f>
        <v>0</v>
      </c>
      <c r="I57" s="47" t="n">
        <f aca="false">FEM_EUR*(1+MarkupPct)</f>
        <v>0</v>
      </c>
    </row>
    <row r="58" customFormat="false" ht="15" hidden="false" customHeight="false" outlineLevel="0" collapsed="false">
      <c r="A58" s="5" t="s">
        <v>348</v>
      </c>
      <c r="B58" s="8" t="s">
        <v>349</v>
      </c>
      <c r="G58" s="46" t="n">
        <f aca="false">Transport_EUR/OrderQty</f>
        <v>0</v>
      </c>
      <c r="I58" s="47" t="n">
        <f aca="false">Transport_EUR*(1+MarkupPct)/OrderQty</f>
        <v>0</v>
      </c>
    </row>
    <row r="59" customFormat="false" ht="15" hidden="false" customHeight="false" outlineLevel="0" collapsed="false">
      <c r="A59" s="5" t="s">
        <v>350</v>
      </c>
      <c r="B59" s="8" t="s">
        <v>351</v>
      </c>
      <c r="G59" s="46" t="n">
        <f aca="false">10/60*LabourRate</f>
        <v>3</v>
      </c>
      <c r="I59" s="47" t="n">
        <f aca="false">10/60*LabourRate*(1+MarkupPct)</f>
        <v>3.9</v>
      </c>
    </row>
    <row r="60" customFormat="false" ht="15" hidden="false" customHeight="false" outlineLevel="0" collapsed="false">
      <c r="A60" s="5" t="s">
        <v>214</v>
      </c>
      <c r="B60" s="8" t="s">
        <v>352</v>
      </c>
      <c r="G60" s="46" t="n">
        <f aca="false">PaintArea_m2*PowderCoat_EurM2</f>
        <v>0</v>
      </c>
      <c r="I60" s="47" t="n">
        <f aca="false">PaintArea_m2*PowderCoat_EurM2*(1+MarkupPct)</f>
        <v>0</v>
      </c>
    </row>
    <row r="62" customFormat="false" ht="19.5" hidden="false" customHeight="true" outlineLevel="0" collapsed="false">
      <c r="A62" s="56" t="s">
        <v>353</v>
      </c>
      <c r="B62" s="57"/>
      <c r="C62" s="57"/>
      <c r="D62" s="57"/>
      <c r="E62" s="57"/>
      <c r="F62" s="57"/>
      <c r="G62" s="59" t="n">
        <f aca="false">SUM(G56:G60)</f>
        <v>3</v>
      </c>
      <c r="H62" s="57"/>
      <c r="I62" s="59" t="n">
        <f aca="false">SUM(I56:I60)</f>
        <v>3.9</v>
      </c>
    </row>
    <row r="64" customFormat="false" ht="27.75" hidden="false" customHeight="true" outlineLevel="0" collapsed="false">
      <c r="A64" s="63" t="s">
        <v>354</v>
      </c>
      <c r="B64" s="64"/>
      <c r="C64" s="64"/>
      <c r="D64" s="64"/>
      <c r="E64" s="64"/>
      <c r="F64" s="64"/>
      <c r="G64" s="65" t="n">
        <f aca="false">G29+G49+G53+G62</f>
        <v>3</v>
      </c>
      <c r="H64" s="64"/>
      <c r="I64" s="65" t="n">
        <f aca="false">I29+I49+I53+I62</f>
        <v>3.9</v>
      </c>
    </row>
    <row r="66" customFormat="false" ht="21.75" hidden="false" customHeight="true" outlineLevel="0" collapsed="false">
      <c r="A66" s="66" t="s">
        <v>355</v>
      </c>
      <c r="B66" s="66"/>
      <c r="C66" s="66"/>
      <c r="D66" s="66"/>
      <c r="E66" s="66"/>
      <c r="F66" s="66"/>
      <c r="G66" s="66"/>
      <c r="H66" s="66"/>
      <c r="I66" s="66"/>
    </row>
    <row r="67" customFormat="false" ht="30" hidden="false" customHeight="true" outlineLevel="0" collapsed="false">
      <c r="A67" s="4" t="s">
        <v>356</v>
      </c>
      <c r="B67" s="4" t="s">
        <v>357</v>
      </c>
      <c r="C67" s="4" t="s">
        <v>358</v>
      </c>
      <c r="D67" s="4" t="s">
        <v>5</v>
      </c>
      <c r="E67" s="4" t="s">
        <v>280</v>
      </c>
      <c r="F67" s="4" t="s">
        <v>281</v>
      </c>
      <c r="G67" s="4" t="s">
        <v>282</v>
      </c>
      <c r="H67" s="4" t="s">
        <v>283</v>
      </c>
      <c r="I67" s="4" t="s">
        <v>6</v>
      </c>
    </row>
    <row r="68" customFormat="false" ht="15" hidden="false" customHeight="false" outlineLevel="0" collapsed="false">
      <c r="A68" s="67" t="s">
        <v>359</v>
      </c>
      <c r="B68" s="68" t="s">
        <v>360</v>
      </c>
      <c r="C68" s="69" t="n">
        <v>0</v>
      </c>
      <c r="D68" s="70" t="s">
        <v>361</v>
      </c>
      <c r="E68" s="71"/>
      <c r="F68" s="71"/>
      <c r="G68" s="71"/>
      <c r="H68" s="71"/>
      <c r="I68" s="71"/>
    </row>
    <row r="69" customFormat="false" ht="15" hidden="false" customHeight="false" outlineLevel="0" collapsed="false">
      <c r="A69" s="14" t="s">
        <v>362</v>
      </c>
      <c r="B69" s="8" t="s">
        <v>363</v>
      </c>
      <c r="C69" s="72" t="n">
        <v>0</v>
      </c>
      <c r="D69" s="14" t="s">
        <v>22</v>
      </c>
      <c r="E69" s="16" t="n">
        <f aca="false">R_LAS_01_Int</f>
        <v>162</v>
      </c>
      <c r="F69" s="46" t="n">
        <f aca="false">C69*E69</f>
        <v>0</v>
      </c>
      <c r="G69" s="16" t="n">
        <f aca="false">R_LAS_01_Quot</f>
        <v>210.6</v>
      </c>
      <c r="H69" s="47" t="n">
        <f aca="false">C69*G69</f>
        <v>0</v>
      </c>
    </row>
    <row r="70" customFormat="false" ht="15" hidden="false" customHeight="false" outlineLevel="0" collapsed="false">
      <c r="A70" s="14" t="s">
        <v>364</v>
      </c>
      <c r="B70" s="8" t="s">
        <v>363</v>
      </c>
      <c r="C70" s="72" t="n">
        <v>0</v>
      </c>
      <c r="D70" s="14" t="s">
        <v>22</v>
      </c>
      <c r="E70" s="16" t="n">
        <f aca="false">R_BRK_Int</f>
        <v>60</v>
      </c>
      <c r="F70" s="46" t="n">
        <f aca="false">C70*E70</f>
        <v>0</v>
      </c>
      <c r="G70" s="16" t="n">
        <f aca="false">R_BRK_Quot</f>
        <v>78</v>
      </c>
      <c r="H70" s="47" t="n">
        <f aca="false">C70*G70</f>
        <v>0</v>
      </c>
    </row>
    <row r="71" customFormat="false" ht="15" hidden="false" customHeight="false" outlineLevel="0" collapsed="false">
      <c r="A71" s="14" t="s">
        <v>365</v>
      </c>
      <c r="B71" s="8" t="s">
        <v>363</v>
      </c>
      <c r="C71" s="72" t="n">
        <v>0</v>
      </c>
      <c r="D71" s="14" t="s">
        <v>22</v>
      </c>
      <c r="E71" s="16" t="n">
        <f aca="false">R_OBRADA_Int</f>
        <v>25</v>
      </c>
      <c r="F71" s="46" t="n">
        <f aca="false">C71*E71</f>
        <v>0</v>
      </c>
      <c r="G71" s="16" t="n">
        <f aca="false">R_OBRADA_Quot</f>
        <v>32.5</v>
      </c>
      <c r="H71" s="47" t="n">
        <f aca="false">C71*G71</f>
        <v>0</v>
      </c>
    </row>
    <row r="72" customFormat="false" ht="15" hidden="false" customHeight="false" outlineLevel="0" collapsed="false">
      <c r="A72" s="14" t="s">
        <v>366</v>
      </c>
      <c r="B72" s="8" t="s">
        <v>363</v>
      </c>
      <c r="C72" s="72" t="n">
        <v>0</v>
      </c>
      <c r="D72" s="14" t="s">
        <v>22</v>
      </c>
      <c r="E72" s="16" t="n">
        <f aca="false">R_DEBURR_Int</f>
        <v>22</v>
      </c>
      <c r="F72" s="46" t="n">
        <f aca="false">C72*E72</f>
        <v>0</v>
      </c>
      <c r="G72" s="16" t="n">
        <f aca="false">R_DEBURR_Quot</f>
        <v>28.6</v>
      </c>
      <c r="H72" s="47" t="n">
        <f aca="false">C72*G72</f>
        <v>0</v>
      </c>
    </row>
    <row r="73" customFormat="false" ht="15" hidden="false" customHeight="false" outlineLevel="0" collapsed="false">
      <c r="A73" s="14" t="s">
        <v>367</v>
      </c>
      <c r="B73" s="8" t="s">
        <v>363</v>
      </c>
      <c r="C73" s="72" t="n">
        <v>0</v>
      </c>
      <c r="D73" s="14" t="s">
        <v>22</v>
      </c>
      <c r="E73" s="16" t="n">
        <f aca="false">R_FINISH_OH_Int</f>
        <v>25</v>
      </c>
      <c r="F73" s="46" t="n">
        <f aca="false">C73*E73</f>
        <v>0</v>
      </c>
      <c r="G73" s="16" t="n">
        <f aca="false">R_FINISH_OH_Quot</f>
        <v>32.5</v>
      </c>
      <c r="H73" s="47" t="n">
        <f aca="false">C73*G73</f>
        <v>0</v>
      </c>
    </row>
    <row r="74" customFormat="false" ht="15" hidden="false" customHeight="false" outlineLevel="0" collapsed="false">
      <c r="A74" s="14" t="s">
        <v>368</v>
      </c>
      <c r="B74" s="8" t="s">
        <v>363</v>
      </c>
      <c r="C74" s="72" t="n">
        <v>0</v>
      </c>
      <c r="D74" s="14" t="s">
        <v>22</v>
      </c>
      <c r="E74" s="16" t="n">
        <f aca="false">R_FINISH_OH_Int</f>
        <v>25</v>
      </c>
      <c r="F74" s="46" t="n">
        <f aca="false">C74*E74</f>
        <v>0</v>
      </c>
      <c r="G74" s="16" t="n">
        <f aca="false">R_FINISH_OH_Quot</f>
        <v>32.5</v>
      </c>
      <c r="H74" s="47" t="n">
        <f aca="false">C74*G74</f>
        <v>0</v>
      </c>
    </row>
    <row r="75" customFormat="false" ht="15" hidden="false" customHeight="false" outlineLevel="0" collapsed="false">
      <c r="A75" s="67" t="s">
        <v>369</v>
      </c>
      <c r="B75" s="68" t="s">
        <v>370</v>
      </c>
      <c r="C75" s="73" t="n">
        <v>0</v>
      </c>
      <c r="D75" s="70" t="s">
        <v>371</v>
      </c>
      <c r="E75" s="71"/>
      <c r="F75" s="71"/>
      <c r="G75" s="71"/>
      <c r="H75" s="71"/>
      <c r="I75" s="71"/>
    </row>
    <row r="76" customFormat="false" ht="15" hidden="false" customHeight="false" outlineLevel="0" collapsed="false">
      <c r="A76" s="14" t="s">
        <v>372</v>
      </c>
      <c r="B76" s="8" t="s">
        <v>373</v>
      </c>
      <c r="C76" s="72" t="n">
        <v>0</v>
      </c>
      <c r="D76" s="14" t="s">
        <v>22</v>
      </c>
      <c r="E76" s="16" t="n">
        <f aca="false">R_FIXTURE_Int</f>
        <v>48</v>
      </c>
      <c r="F76" s="46" t="n">
        <f aca="false">C76*E76</f>
        <v>0</v>
      </c>
      <c r="G76" s="16" t="n">
        <f aca="false">R_FIXTURE_Quot</f>
        <v>62.4</v>
      </c>
      <c r="H76" s="47" t="n">
        <f aca="false">C76*G76</f>
        <v>0</v>
      </c>
    </row>
    <row r="77" customFormat="false" ht="15" hidden="false" customHeight="false" outlineLevel="0" collapsed="false">
      <c r="A77" s="14" t="s">
        <v>374</v>
      </c>
      <c r="B77" s="8" t="s">
        <v>375</v>
      </c>
      <c r="C77" s="72" t="n">
        <v>0</v>
      </c>
      <c r="D77" s="14" t="s">
        <v>22</v>
      </c>
      <c r="E77" s="16" t="n">
        <f aca="false">R_WLD_Int</f>
        <v>50</v>
      </c>
      <c r="F77" s="46" t="n">
        <f aca="false">C77*E77</f>
        <v>0</v>
      </c>
      <c r="G77" s="16" t="n">
        <f aca="false">R_WLD_Quot</f>
        <v>65</v>
      </c>
      <c r="H77" s="47" t="n">
        <f aca="false">C77*G77</f>
        <v>0</v>
      </c>
    </row>
    <row r="78" customFormat="false" ht="15" hidden="false" customHeight="false" outlineLevel="0" collapsed="false">
      <c r="A78" s="14" t="s">
        <v>376</v>
      </c>
      <c r="B78" s="8" t="s">
        <v>377</v>
      </c>
      <c r="C78" s="72" t="n">
        <v>0</v>
      </c>
      <c r="D78" s="14" t="s">
        <v>22</v>
      </c>
      <c r="E78" s="16" t="n">
        <f aca="false">R_OBRADA_Int</f>
        <v>25</v>
      </c>
      <c r="F78" s="46" t="n">
        <f aca="false">C78*E78</f>
        <v>0</v>
      </c>
      <c r="G78" s="16" t="n">
        <f aca="false">R_OBRADA_Quot</f>
        <v>32.5</v>
      </c>
      <c r="H78" s="47" t="n">
        <f aca="false">C78*G78</f>
        <v>0</v>
      </c>
    </row>
  </sheetData>
  <mergeCells count="8">
    <mergeCell ref="A1:I1"/>
    <mergeCell ref="A2:I2"/>
    <mergeCell ref="A4:I4"/>
    <mergeCell ref="A6:I6"/>
    <mergeCell ref="A31:I31"/>
    <mergeCell ref="A51:I51"/>
    <mergeCell ref="A55:I55"/>
    <mergeCell ref="A66:I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25.5" hidden="false" customHeight="true" outlineLevel="0" collapsed="false">
      <c r="A1" s="1" t="s">
        <v>378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74" t="s">
        <v>379</v>
      </c>
      <c r="B2" s="74"/>
      <c r="C2" s="74"/>
      <c r="D2" s="74"/>
      <c r="E2" s="74"/>
      <c r="F2" s="74"/>
    </row>
    <row r="4" customFormat="false" ht="19.5" hidden="false" customHeight="true" outlineLevel="0" collapsed="false">
      <c r="A4" s="75" t="s">
        <v>380</v>
      </c>
      <c r="B4" s="75"/>
      <c r="C4" s="75"/>
      <c r="D4" s="75"/>
      <c r="E4" s="75"/>
      <c r="F4" s="75"/>
    </row>
    <row r="5" customFormat="false" ht="15" hidden="false" customHeight="false" outlineLevel="0" collapsed="false">
      <c r="A5" s="76" t="s">
        <v>16</v>
      </c>
      <c r="B5" s="77" t="n">
        <f aca="false">OrderQty</f>
        <v>1</v>
      </c>
      <c r="C5" s="78" t="s">
        <v>17</v>
      </c>
      <c r="F5" s="79" t="s">
        <v>381</v>
      </c>
    </row>
    <row r="6" customFormat="false" ht="15" hidden="false" customHeight="false" outlineLevel="0" collapsed="false">
      <c r="A6" s="76" t="s">
        <v>382</v>
      </c>
      <c r="B6" s="80" t="n">
        <v>0.08</v>
      </c>
      <c r="F6" s="79" t="s">
        <v>383</v>
      </c>
    </row>
    <row r="7" customFormat="false" ht="15" hidden="false" customHeight="false" outlineLevel="0" collapsed="false">
      <c r="A7" s="76" t="s">
        <v>384</v>
      </c>
      <c r="B7" s="80" t="n">
        <v>0.3</v>
      </c>
      <c r="F7" s="81" t="s">
        <v>385</v>
      </c>
    </row>
    <row r="9" customFormat="false" ht="19.5" hidden="false" customHeight="true" outlineLevel="0" collapsed="false">
      <c r="A9" s="75" t="s">
        <v>386</v>
      </c>
      <c r="B9" s="75"/>
      <c r="C9" s="75"/>
      <c r="D9" s="75"/>
      <c r="E9" s="75"/>
      <c r="F9" s="75"/>
    </row>
    <row r="10" customFormat="false" ht="18" hidden="false" customHeight="true" outlineLevel="0" collapsed="false">
      <c r="A10" s="82"/>
      <c r="B10" s="82"/>
      <c r="C10" s="82"/>
      <c r="D10" s="82" t="s">
        <v>387</v>
      </c>
      <c r="E10" s="82" t="s">
        <v>388</v>
      </c>
      <c r="F10" s="82"/>
    </row>
    <row r="11" customFormat="false" ht="15" hidden="false" customHeight="false" outlineLevel="0" collapsed="false">
      <c r="A11" s="76" t="s">
        <v>389</v>
      </c>
      <c r="D11" s="83" t="n">
        <f aca="false">GrandTotal_Int</f>
        <v>3</v>
      </c>
      <c r="E11" s="83" t="n">
        <f aca="false">D11*OrderQty</f>
        <v>3</v>
      </c>
    </row>
    <row r="12" customFormat="false" ht="15" hidden="false" customHeight="false" outlineLevel="0" collapsed="false">
      <c r="A12" s="76" t="s">
        <v>390</v>
      </c>
      <c r="D12" s="84" t="n">
        <f aca="false">GrandTotal_Quot</f>
        <v>3.9</v>
      </c>
      <c r="E12" s="84" t="n">
        <f aca="false">D12*OrderQty</f>
        <v>3.9</v>
      </c>
    </row>
    <row r="14" customFormat="false" ht="19.5" hidden="false" customHeight="true" outlineLevel="0" collapsed="false">
      <c r="A14" s="75" t="s">
        <v>391</v>
      </c>
      <c r="B14" s="75"/>
      <c r="C14" s="75"/>
      <c r="D14" s="75"/>
      <c r="E14" s="75"/>
      <c r="F14" s="75"/>
    </row>
    <row r="15" customFormat="false" ht="18" hidden="false" customHeight="true" outlineLevel="0" collapsed="false">
      <c r="A15" s="82"/>
      <c r="B15" s="82"/>
      <c r="C15" s="82"/>
      <c r="D15" s="82" t="s">
        <v>387</v>
      </c>
      <c r="E15" s="82" t="s">
        <v>388</v>
      </c>
      <c r="F15" s="82"/>
    </row>
    <row r="16" customFormat="false" ht="15" hidden="false" customHeight="false" outlineLevel="0" collapsed="false">
      <c r="A16" s="85" t="s">
        <v>390</v>
      </c>
      <c r="D16" s="86" t="n">
        <f aca="false">D12</f>
        <v>3.9</v>
      </c>
      <c r="E16" s="86" t="n">
        <f aca="false">E12</f>
        <v>3.9</v>
      </c>
    </row>
    <row r="17" customFormat="false" ht="15" hidden="false" customHeight="false" outlineLevel="0" collapsed="false">
      <c r="A17" s="85" t="s">
        <v>392</v>
      </c>
      <c r="D17" s="86" t="n">
        <f aca="false">D12*$B$6</f>
        <v>0.312</v>
      </c>
      <c r="E17" s="86" t="n">
        <f aca="false">E12*$B$6</f>
        <v>0.312</v>
      </c>
    </row>
    <row r="18" customFormat="false" ht="15" hidden="false" customHeight="false" outlineLevel="0" collapsed="false">
      <c r="A18" s="76" t="s">
        <v>393</v>
      </c>
      <c r="D18" s="87" t="n">
        <f aca="false">D12+D17</f>
        <v>4.212</v>
      </c>
      <c r="E18" s="87" t="n">
        <f aca="false">E12+E17</f>
        <v>4.212</v>
      </c>
    </row>
    <row r="19" customFormat="false" ht="15" hidden="false" customHeight="false" outlineLevel="0" collapsed="false">
      <c r="A19" s="85" t="s">
        <v>394</v>
      </c>
      <c r="D19" s="86" t="n">
        <f aca="false">D18*$B$7</f>
        <v>1.2636</v>
      </c>
      <c r="E19" s="86" t="n">
        <f aca="false">E18*$B$7</f>
        <v>1.2636</v>
      </c>
    </row>
    <row r="21" customFormat="false" ht="24" hidden="false" customHeight="true" outlineLevel="0" collapsed="false">
      <c r="A21" s="88" t="s">
        <v>395</v>
      </c>
      <c r="B21" s="64"/>
      <c r="C21" s="64"/>
      <c r="D21" s="89" t="n">
        <f aca="false">D18+D19</f>
        <v>5.4756</v>
      </c>
      <c r="E21" s="89" t="n">
        <f aca="false">E18+E19</f>
        <v>5.4756</v>
      </c>
      <c r="F21" s="64"/>
    </row>
    <row r="23" customFormat="false" ht="19.5" hidden="false" customHeight="true" outlineLevel="0" collapsed="false">
      <c r="A23" s="75" t="s">
        <v>396</v>
      </c>
      <c r="B23" s="75"/>
      <c r="C23" s="75"/>
      <c r="D23" s="75"/>
      <c r="E23" s="75"/>
      <c r="F23" s="75"/>
    </row>
    <row r="24" customFormat="false" ht="18" hidden="false" customHeight="true" outlineLevel="0" collapsed="false">
      <c r="A24" s="82"/>
      <c r="B24" s="82"/>
      <c r="C24" s="82"/>
      <c r="D24" s="82" t="s">
        <v>387</v>
      </c>
      <c r="E24" s="82" t="s">
        <v>388</v>
      </c>
      <c r="F24" s="82"/>
    </row>
    <row r="25" customFormat="false" ht="15" hidden="false" customHeight="false" outlineLevel="0" collapsed="false">
      <c r="A25" s="85" t="s">
        <v>389</v>
      </c>
      <c r="D25" s="90" t="n">
        <f aca="false">D11</f>
        <v>3</v>
      </c>
      <c r="E25" s="90" t="n">
        <f aca="false">E11</f>
        <v>3</v>
      </c>
    </row>
    <row r="26" customFormat="false" ht="15" hidden="false" customHeight="false" outlineLevel="0" collapsed="false">
      <c r="A26" s="85" t="s">
        <v>397</v>
      </c>
      <c r="D26" s="91" t="n">
        <f aca="false">D21</f>
        <v>5.4756</v>
      </c>
      <c r="E26" s="91" t="n">
        <f aca="false">E21</f>
        <v>5.4756</v>
      </c>
    </row>
    <row r="27" customFormat="false" ht="21.75" hidden="false" customHeight="true" outlineLevel="0" collapsed="false">
      <c r="A27" s="92" t="s">
        <v>398</v>
      </c>
      <c r="D27" s="93" t="n">
        <f aca="false">D26-D25</f>
        <v>2.4756</v>
      </c>
      <c r="E27" s="93" t="n">
        <f aca="false">E26-E25</f>
        <v>2.4756</v>
      </c>
    </row>
    <row r="28" customFormat="false" ht="15" hidden="false" customHeight="false" outlineLevel="0" collapsed="false">
      <c r="A28" s="79" t="s">
        <v>399</v>
      </c>
      <c r="D28" s="94" t="n">
        <f aca="false">(D26-D25)/D25</f>
        <v>0.8252</v>
      </c>
      <c r="E28" s="94" t="n">
        <f aca="false">(E26-E25)/E25</f>
        <v>0.8252</v>
      </c>
    </row>
  </sheetData>
  <mergeCells count="6">
    <mergeCell ref="A1:F1"/>
    <mergeCell ref="A2:F2"/>
    <mergeCell ref="A4:F4"/>
    <mergeCell ref="A9:F9"/>
    <mergeCell ref="A14:F14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2026-07-23T05:54:09Z</dcterms:created>
  <dc:creator>openpyxl</dc:creator>
  <dc:description/>
  <dc:language>en-US</dc:language>
  <cp:lastModifiedBy/>
  <dcterms:modified xsi:type="dcterms:W3CDTF">2026-07-23T05:56:32Z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